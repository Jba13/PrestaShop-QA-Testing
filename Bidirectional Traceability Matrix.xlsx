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ber\Downloads\"/>
    </mc:Choice>
  </mc:AlternateContent>
  <xr:revisionPtr revIDLastSave="0" documentId="13_ncr:1_{F4E7166D-91E5-466B-BE57-D18F550A1CB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information" sheetId="1" r:id="rId1"/>
    <sheet name="Matrice de traçabilité" sheetId="2" r:id="rId2"/>
    <sheet name="Exigences (REQ → TC)" sheetId="3" r:id="rId3"/>
    <sheet name="Synthèse" sheetId="4" r:id="rId4"/>
  </sheets>
  <definedNames>
    <definedName name="_xlnm._FilterDatabase" localSheetId="1" hidden="1">'Matrice de traçabilité'!$A$2:$N$61</definedName>
    <definedName name="_xlnm.Print_Titles" localSheetId="1">'Matrice de traçabilité'!$2:$2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G20" i="4"/>
  <c r="F20" i="4"/>
  <c r="H19" i="4"/>
  <c r="G19" i="4"/>
  <c r="F19" i="4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L10" i="4"/>
  <c r="H10" i="4"/>
  <c r="G10" i="4"/>
  <c r="F10" i="4"/>
  <c r="H9" i="4"/>
  <c r="G9" i="4"/>
  <c r="F9" i="4"/>
  <c r="L8" i="4"/>
  <c r="H8" i="4"/>
  <c r="G8" i="4"/>
  <c r="F8" i="4"/>
  <c r="H7" i="4"/>
  <c r="G7" i="4"/>
  <c r="F7" i="4"/>
  <c r="H6" i="4"/>
  <c r="G6" i="4"/>
  <c r="F6" i="4"/>
  <c r="H5" i="4"/>
  <c r="G5" i="4"/>
  <c r="F5" i="4"/>
  <c r="H4" i="4"/>
  <c r="G4" i="4"/>
  <c r="F4" i="4"/>
  <c r="H3" i="4"/>
  <c r="G3" i="4"/>
  <c r="F3" i="4"/>
  <c r="L2" i="4"/>
  <c r="H2" i="4"/>
  <c r="G2" i="4"/>
  <c r="F2" i="4"/>
  <c r="J13" i="3"/>
  <c r="I13" i="3"/>
  <c r="H13" i="3"/>
  <c r="G13" i="3"/>
  <c r="F13" i="3"/>
  <c r="K13" i="3" s="1"/>
  <c r="J12" i="3"/>
  <c r="I12" i="3"/>
  <c r="H12" i="3"/>
  <c r="K12" i="3" s="1"/>
  <c r="G12" i="3"/>
  <c r="F12" i="3"/>
  <c r="J11" i="3"/>
  <c r="I11" i="3"/>
  <c r="H11" i="3"/>
  <c r="G11" i="3"/>
  <c r="F11" i="3"/>
  <c r="K11" i="3" s="1"/>
  <c r="J10" i="3"/>
  <c r="I10" i="3"/>
  <c r="H10" i="3"/>
  <c r="G10" i="3"/>
  <c r="F10" i="3"/>
  <c r="K10" i="3" s="1"/>
  <c r="J9" i="3"/>
  <c r="I9" i="3"/>
  <c r="H9" i="3"/>
  <c r="G9" i="3"/>
  <c r="F9" i="3"/>
  <c r="K9" i="3" s="1"/>
  <c r="K8" i="3"/>
  <c r="J8" i="3"/>
  <c r="I8" i="3"/>
  <c r="H8" i="3"/>
  <c r="G8" i="3"/>
  <c r="F8" i="3"/>
  <c r="J7" i="3"/>
  <c r="I7" i="3"/>
  <c r="H7" i="3"/>
  <c r="G7" i="3"/>
  <c r="F7" i="3"/>
  <c r="K7" i="3" s="1"/>
  <c r="J6" i="3"/>
  <c r="I6" i="3"/>
  <c r="H6" i="3"/>
  <c r="G6" i="3"/>
  <c r="F6" i="3"/>
  <c r="K6" i="3" s="1"/>
  <c r="J5" i="3"/>
  <c r="I5" i="3"/>
  <c r="K5" i="3" s="1"/>
  <c r="H5" i="3"/>
  <c r="G5" i="3"/>
  <c r="F5" i="3"/>
  <c r="J4" i="3"/>
  <c r="I4" i="3"/>
  <c r="H4" i="3"/>
  <c r="G4" i="3"/>
  <c r="F4" i="3"/>
  <c r="K4" i="3" s="1"/>
  <c r="J3" i="3"/>
  <c r="I3" i="3"/>
  <c r="H3" i="3"/>
  <c r="G3" i="3"/>
  <c r="F3" i="3"/>
  <c r="K3" i="3" s="1"/>
  <c r="J2" i="3"/>
  <c r="I2" i="3"/>
  <c r="H2" i="3"/>
  <c r="G2" i="3"/>
  <c r="F2" i="3"/>
  <c r="K2" i="3" s="1"/>
  <c r="L5" i="4" l="1"/>
  <c r="L4" i="4"/>
  <c r="L3" i="4" s="1"/>
  <c r="L9" i="4" s="1"/>
  <c r="L7" i="4"/>
  <c r="L6" i="4"/>
</calcChain>
</file>

<file path=xl/sharedStrings.xml><?xml version="1.0" encoding="utf-8"?>
<sst xmlns="http://schemas.openxmlformats.org/spreadsheetml/2006/main" count="776" uniqueCount="427">
  <si>
    <t>Informations projet</t>
  </si>
  <si>
    <t>project name</t>
  </si>
  <si>
    <t>PrestaShop Demo – Front Office (https://demo.prestashop.com/#/en/front)</t>
  </si>
  <si>
    <t>delivery date</t>
  </si>
  <si>
    <t>test design date</t>
  </si>
  <si>
    <t>designed by</t>
  </si>
  <si>
    <t>developper</t>
  </si>
  <si>
    <t>PrestaShop SA (éditeur de la solution testée, instance de démonstration)</t>
  </si>
  <si>
    <t>browsers</t>
  </si>
  <si>
    <t>android version</t>
  </si>
  <si>
    <t>ios version</t>
  </si>
  <si>
    <t>country</t>
  </si>
  <si>
    <t>pc</t>
  </si>
  <si>
    <t>linux environment</t>
  </si>
  <si>
    <t>windows version</t>
  </si>
  <si>
    <t>Windows 11 (64 bits)</t>
  </si>
  <si>
    <t>Matrice de traçabilité – Campagne de tests fonctionnels PrestaShop Demo (front office)</t>
  </si>
  <si>
    <t>compagne</t>
  </si>
  <si>
    <t>Suite</t>
  </si>
  <si>
    <t>ID test</t>
  </si>
  <si>
    <t>titre de test</t>
  </si>
  <si>
    <t>type de test</t>
  </si>
  <si>
    <t>précondition</t>
  </si>
  <si>
    <t>N° d'étape</t>
  </si>
  <si>
    <t>Etapes</t>
  </si>
  <si>
    <t>Résultat attendu</t>
  </si>
  <si>
    <t>résultat obtenu</t>
  </si>
  <si>
    <t>statut</t>
  </si>
  <si>
    <t>ID exigence</t>
  </si>
  <si>
    <t>Bug ID</t>
  </si>
  <si>
    <t>Commentaires / Preuves</t>
  </si>
  <si>
    <t>Légende des statuts</t>
  </si>
  <si>
    <t>Campagne 1 – Tests fonctionnels front office PrestaShop Demo</t>
  </si>
  <si>
    <t>A. Inscription &amp; authentification</t>
  </si>
  <si>
    <t>TC-01</t>
  </si>
  <si>
    <t>Création d'un compte client valide</t>
  </si>
  <si>
    <t>Positif</t>
  </si>
  <si>
    <t>Utilisateur non connecté. Boutique de démo ouverte (front office, langue EN). Email de test jamais utilisé.</t>
  </si>
  <si>
    <t>Cliquer sur « Sign in » dans l'en-tête.</t>
  </si>
  <si>
    <t>La page d'authentification s'affiche.</t>
  </si>
  <si>
    <t>La page « Sign in » s'affiche (champs Email*, Password*, bouton « Sign in », lien « Forgot your password? »).</t>
  </si>
  <si>
    <t>OK</t>
  </si>
  <si>
    <t>REQ-01</t>
  </si>
  <si>
    <t>Exécuté le 21/10/2026 – instance colorful-flock.demo.prestashop.com – Chrome 155 / Windows 11. URL : /login?back=…</t>
  </si>
  <si>
    <t>PASS – comportement conforme au résultat attendu</t>
  </si>
  <si>
    <t>Cliquer sur « No account? Create one here ».</t>
  </si>
  <si>
    <t>Le formulaire « Create an account » s'affiche ; les champs obligatoires sont signalés.</t>
  </si>
  <si>
    <t>Le formulaire « Create an account » s'affiche ; First name, Last name, Email, Password et les 2 cases obligatoires sont marqués « * ».</t>
  </si>
  <si>
    <t>Exécuté le 21/10/2026 – instance colorful-flock.demo.prestashop.com – Chrome 155 / Windows 11. URL : /registration. Libellé réel du lien : « No account? » + « Create your account » (cas de test à mettre à jour).</t>
  </si>
  <si>
    <t>KO</t>
  </si>
  <si>
    <t>FAIL – écart constaté ; un Bug ID doit être saisi (col. M)</t>
  </si>
  <si>
    <t>Saisir : Social title = Mr ; First name = Test ; Last name = Gomycode ; Email = qa.gomycode.&lt;jjmmhhmm&gt;@example.com ; Password = &lt;mot de passe de test – conservé hors document&gt;.</t>
  </si>
  <si>
    <t>Les valeurs sont acceptées, aucun message d'erreur.</t>
  </si>
  <si>
    <t>Valeurs acceptées (coche verte sur chaque champ), aucun message d'erreur.</t>
  </si>
  <si>
    <t>Exécuté le 21/10/2026 – instance colorful-flock.demo.prestashop.com – Chrome 155 / Windows 11. Saisie faite par le testeur avec ses propres données (Mr / Jaber / EL ABDELLAOUI / email personnel). Mot de passe conservé hors document.</t>
  </si>
  <si>
    <t>BLOCKED</t>
  </si>
  <si>
    <t>Exécution impossible (prérequis/environnement indisponible)</t>
  </si>
  <si>
    <t>Cocher les cases obligatoires (Customer data privacy, Terms and conditions).</t>
  </si>
  <si>
    <t>Les cases sont cochées.</t>
  </si>
  <si>
    <t>Cases « I agree to the terms and conditions and the privacy policy » et « Customer data privacy » cochées.</t>
  </si>
  <si>
    <t>Exécuté le 21/10/2026 – instance colorful-flock.demo.prestashop.com – Chrome 155 / Windows 11.</t>
  </si>
  <si>
    <t>NOT RUN</t>
  </si>
  <si>
    <t>Test non exécuté</t>
  </si>
  <si>
    <t>Cliquer sur « Save ».</t>
  </si>
  <si>
    <t>Le compte est créé, le client est connecté ; « Test Gomycode » et le lien « Sign out » apparaissent dans l'en-tête.</t>
  </si>
  <si>
    <t>Compte créé, client connecté : l'en-tête affiche « Jaber EL ABDELLAOUI » ; « Sign out » présent dans le menu déroulant sous le nom.</t>
  </si>
  <si>
    <t>Exécuté le 21/10/2026 – instance colorful-flock.demo.prestashop.com – Chrome 155 / Windows 11. Bouton réel : « Create account » (pas « Save »). Nom affiché = données saisies (pas « Test Gomycode »). « Sign out » n'est pas directement dans l'en-tête mais dans le menu du compte (cas de test à mettre à jour).</t>
  </si>
  <si>
    <t>TC-02</t>
  </si>
  <si>
    <t>Inscription – champs obligatoires vides</t>
  </si>
  <si>
    <t>Négatif</t>
  </si>
  <si>
    <t>Utilisateur non connecté. Formulaire « Create an account » ouvert.</t>
  </si>
  <si>
    <t>Laisser First name, Last name, Email et Password vides, puis cliquer sur « Save ».</t>
  </si>
  <si>
    <t>L'envoi est bloqué ; un message « champ obligatoire » s'affiche sur le premier champ vide ; aucun compte créé.</t>
  </si>
  <si>
    <t>Envoi bloqué, reste sur /registration ; focus sur First name avec la bulle « Veuillez renseigner ce champ. » ; champs vides encadrés en rouge ; aucun compte créé.</t>
  </si>
  <si>
    <t>REQ-02</t>
  </si>
  <si>
    <t>Exécuté le 21/10/2026 – instance colorful-flock.demo.prestashop.com – Chrome 155 / Windows 11. Validation HTML5 du navigateur (Chrome en français). Cases : « Veuillez cocher cette case si vous souhaitez continuer. »</t>
  </si>
  <si>
    <t>Saisir uniquement les colonnes J (résultat obtenu), K (statut), M (Bug ID) et N (preuves) lors de l'exécution.</t>
  </si>
  <si>
    <t>Remplir tous les champs avec des données valides SANS cocher la case des conditions, puis « Save ».</t>
  </si>
  <si>
    <t>L'envoi est bloqué ; un message indique que la case est obligatoire ; aucun compte créé.</t>
  </si>
  <si>
    <t>Envoi bloqué ; la case « I agree to the terms and conditions and the privacy policy » passe en rouge avec la bulle « Veuillez cocher cette case si vous souhaitez continuer. » ; en-tête toujours « Sign in », aucun compte créé.</t>
  </si>
  <si>
    <t>Exécuté le 21/10/2026 – instance colorful-flock.demo.prestashop.com – Chrome 155 / Windows 11. Données : Mr / Test / Gomycode / qa.gomycode.21100214@example.com ; Customer data privacy cochée ; mot de passe saisi par le testeur.</t>
  </si>
  <si>
    <t>TC-03</t>
  </si>
  <si>
    <t>Inscription – email au format invalide</t>
  </si>
  <si>
    <t>Remplir le formulaire avec des valeurs valides et Email = qa.gomycode.example.com (sans @), puis « Save ».</t>
  </si>
  <si>
    <t>L'envoi est refusé avec un message de format d'email invalide ; aucun compte créé.</t>
  </si>
  <si>
    <t>Envoi refusé ; focus sur Email avec le message « Veuillez inclure "@" dans l'adresse e-mail. Il manque un symbole "@" dans "qa.gomycode.example.com". »</t>
  </si>
  <si>
    <t>Exécuté le 21/10/2026 – instance colorful-flock.demo.prestashop.com – Chrome 155 / Windows 11. Données : Mr / Test / Gomycode / qa.gomycode.example.com ; Password laissé vide (le message email s'affiche en premier).</t>
  </si>
  <si>
    <t>Note d'exécution (21/10/2026) : campagne complète (TC-01 à TC-27, suites A à E) exécutée sur la démo PrestaShop via Claude in Chrome (instance colorful-flock.demo.prestashop.com, Chrome 155.0.8059.80, Windows 11). Les saisies de mot de passe ont été faites par le testeur ; aucune commande n'a été passée. Résultat : 2 KO (TC-11 étape 3 → BUG-001 ; TC-17 étape 1 → BUG-002), 1 BLOCKED (TC-14 étape 2 : une seule image produit), toutes les autres étapes OK.</t>
  </si>
  <si>
    <t>Remplacer l'email par qa@@example.com, puis « Save ».</t>
  </si>
  <si>
    <t>L'envoi est refusé avec un message de format d'email invalide.</t>
  </si>
  <si>
    <t>Envoi refusé avec le message « La partie précédée du symbole "@" ne doit pas contenir le caractère "@". »</t>
  </si>
  <si>
    <t>Exécuté le 21/10/2026 – instance colorful-flock.demo.prestashop.com – Chrome 155 / Windows 11. Email : qa@@example.com</t>
  </si>
  <si>
    <t>TC-04</t>
  </si>
  <si>
    <t>Inscription – email déjà utilisé</t>
  </si>
  <si>
    <t>TC-01 exécuté (compte existant). Utilisateur déconnecté. Formulaire « Create an account » ouvert.</t>
  </si>
  <si>
    <t>Remplir le formulaire avec l'email du compte créé en TC-01 et des valeurs valides, puis « Save ».</t>
  </si>
  <si>
    <t>Message indiquant que l'email est déjà utilisé ; aucun second compte créé.</t>
  </si>
  <si>
    <t>La page se recharge avec le message « The email is already used, please choose another one or sign in » sous le champ Email ; utilisateur non connecté, aucun second compte.</t>
  </si>
  <si>
    <t>Exécuté le 21/10/2026 – instance colorful-flock.demo.prestashop.com – Chrome 155 / Windows 11. Données : Mr / Test / Gomycode / email du compte TC-01 ; mot de passe saisi par le testeur.</t>
  </si>
  <si>
    <t>TC-05</t>
  </si>
  <si>
    <t>Connexion avec identifiants valides</t>
  </si>
  <si>
    <t>Compte de TC-01 existant. Utilisateur déconnecté.</t>
  </si>
  <si>
    <t>Cliquer sur « Sign in ».</t>
  </si>
  <si>
    <t>La page « Sign in » s'affiche.</t>
  </si>
  <si>
    <t>REQ-03</t>
  </si>
  <si>
    <t>Exécuté le 21/10/2026 – instance colorful-flock.demo.prestashop.com – Chrome 155 / Windows 11. URL : /login</t>
  </si>
  <si>
    <t>Saisir Email = email du compte TC-01 et Password = &lt;mot de passe de test – conservé hors document&gt;, puis cliquer sur « Sign in ».</t>
  </si>
  <si>
    <t>Redirection vers « Your account » ; le nom du client s'affiche dans l'en-tête.</t>
  </si>
  <si>
    <t>Redirection vers « Your account » (fil d'Ariane « Home / Your account ») avec « Welcome Jaber EL ABDELLAOUI » ; nom affiché dans l'en-tête.</t>
  </si>
  <si>
    <t>Exécuté le 21/10/2026 – instance colorful-flock.demo.prestashop.com – Chrome 155 / Windows 11. Email du compte TC-01 ; mot de passe saisi par le testeur (hors document).</t>
  </si>
  <si>
    <t>TC-06</t>
  </si>
  <si>
    <t>Connexion avec mot de passe incorrect</t>
  </si>
  <si>
    <t>Compte de TC-01 existant. Utilisateur déconnecté. Page « Sign in » ouverte.</t>
  </si>
  <si>
    <t>Saisir l'email du compte TC-01 et le mot de passe « Wrong#Pass1 », puis « Sign in ».</t>
  </si>
  <si>
    <t>Message « Authentication failed. » ; l'utilisateur reste non connecté sur la page de connexion.</t>
  </si>
  <si>
    <t>Message « Authentication failed. » dans un bandeau rouge ; reste sur « Sign in », en-tête toujours « Sign in », champ Password vidé.</t>
  </si>
  <si>
    <t>Exécuté le 21/10/2026 – instance colorful-flock.demo.prestashop.com – Chrome 155 / Windows 11. Mot de passe : « Wrong#Pass1 »</t>
  </si>
  <si>
    <t>TC-07</t>
  </si>
  <si>
    <t>Connexion avec email inconnu / champs vides</t>
  </si>
  <si>
    <t>Utilisateur déconnecté. Page « Sign in » ouverte.</t>
  </si>
  <si>
    <t>Saisir Email = unknown.qa.gomycode@example.com et un mot de passe quelconque, puis « Sign in ».</t>
  </si>
  <si>
    <t>Message « Authentication failed. » ; aucune connexion.</t>
  </si>
  <si>
    <t>Après rechargement, message « Authentication failed. » ; aucune connexion (en-tête « Sign in »).</t>
  </si>
  <si>
    <t>Exécuté le 21/10/2026 – instance colorful-flock.demo.prestashop.com – Chrome 155 / Windows 11. Email : unknown.qa.gomycode@example.com ; mot de passe quelconque.</t>
  </si>
  <si>
    <t>Laisser Email et Password vides, puis « Sign in ».</t>
  </si>
  <si>
    <t>L'envoi est bloqué par la validation des champs obligatoires.</t>
  </si>
  <si>
    <t>Envoi bloqué ; focus sur Email avec la bulle « Veuillez renseigner ce champ. » ; Email et Password encadrés en rouge.</t>
  </si>
  <si>
    <t>Exécuté le 21/10/2026 – instance colorful-flock.demo.prestashop.com – Chrome 155 / Windows 11. Validation HTML5 du navigateur.</t>
  </si>
  <si>
    <t>TC-08</t>
  </si>
  <si>
    <t>Déconnexion</t>
  </si>
  <si>
    <t>Client connecté (TC-05).</t>
  </si>
  <si>
    <t>Cliquer sur « Sign out » dans l'en-tête.</t>
  </si>
  <si>
    <t>Le client est déconnecté ; le lien « Sign in » réapparaît.</t>
  </si>
  <si>
    <t>Clic sur « Sign out » (menu du compte) : redirection vers « Sign in », le lien « Sign in » réapparaît dans l'en-tête.</t>
  </si>
  <si>
    <t>REQ-04</t>
  </si>
  <si>
    <t>Exécuté le 21/10/2026 – instance colorful-flock.demo.prestashop.com – Chrome 155 / Windows 11. « Sign out » accessible via le menu déroulant sous le nom du client.</t>
  </si>
  <si>
    <t>Ouvrir directement l'URL de la page « My account » (/my-account ou index.php?controller=my-account).</t>
  </si>
  <si>
    <t>Redirection vers la page d'authentification ; aucune donnée du compte n'est affichée.</t>
  </si>
  <si>
    <t>/en/my-account redirige vers la page « Sign in » (fil d'Ariane « Home / Log in to your account ») ; aucune donnée du compte affichée.</t>
  </si>
  <si>
    <t>Exécuté le 21/10/2026 – instance colorful-flock.demo.prestashop.com – Chrome 155 / Windows 11. URL ouverte : https://colorful-flock.demo.prestashop.com/en/my-account</t>
  </si>
  <si>
    <t>B. Navigation &amp; catalogue</t>
  </si>
  <si>
    <t>TC-09</t>
  </si>
  <si>
    <t>Affichage de la page d'accueil</t>
  </si>
  <si>
    <t>Boutique de démo ouverte.</t>
  </si>
  <si>
    <t>Ouvrir la page d'accueil de la boutique.</t>
  </si>
  <si>
    <t>Logo, menu principal (Clothes, Accessories, Art), bannière/carrousel et section « Popular products » s'affichent sans erreur.</t>
  </si>
  <si>
    <t>Page d'accueil affichée sans erreur : logo « my store », carrousel (« SAMPLE 1 », « Sample 2 », « Sample 3 »), « Custom Text Block », « Featured products », « Special deals ». Menu (icône ☰) : « Clothes », « Accessories », « Art ».</t>
  </si>
  <si>
    <t>REQ-05</t>
  </si>
  <si>
    <t>Exécuté le 21/10/2026 – instance colorful-flock.demo.prestashop.com – Chrome 155 / Windows 11. URL : https://colorful-flock.demo.prestashop.com/. La section s'intitule « Featured products » (pas « Popular products ») et le menu est replié derrière ☰ – libellés du cas de test à mettre à jour.</t>
  </si>
  <si>
    <t>Ouvrir une autre page puis cliquer sur le logo.</t>
  </si>
  <si>
    <t>Retour à la page d'accueil.</t>
  </si>
  <si>
    <t>Depuis /3-clothes, clic sur le logo → retour à la page d'accueil.</t>
  </si>
  <si>
    <t>Exécuté le 21/10/2026 – instance colorful-flock.demo.prestashop.com – Chrome 155 / Windows 11. URL d'arrivée : / (page index).</t>
  </si>
  <si>
    <t>TC-10</t>
  </si>
  <si>
    <t>Navigation par catégories et fil d'Ariane</t>
  </si>
  <si>
    <t>Page d'accueil ouverte.</t>
  </si>
  <si>
    <t>Cliquer sur la catégorie « Clothes » dans le menu.</t>
  </si>
  <si>
    <t>La page Clothes s'affiche avec son titre, la liste des produits et le nombre de produits (« There are N products »).</t>
  </si>
  <si>
    <t>Page « Clothes » : titre, description, sous-catégories Men/Women, « There are 2 products. », 2 produits listés.</t>
  </si>
  <si>
    <t>Exécuté le 21/10/2026 – instance colorful-flock.demo.prestashop.com – Chrome 155 / Windows 11. URL : /3-clothes. Le catalogue de démo ne contient que 2 produits dans Clothes.</t>
  </si>
  <si>
    <t>Cliquer sur la sous-catégorie « Men ».</t>
  </si>
  <si>
    <t>Seuls les produits de la sous-catégorie Men s'affichent ; le fil d'Ariane indique Home &gt; Clothes &gt; Men.</t>
  </si>
  <si>
    <t>Page « Men » : « There is 1 product. » (Hummingbird printed t-shirt) ; fil d'Ariane « Home / Clothes / Men ».</t>
  </si>
  <si>
    <t>Exécuté le 21/10/2026 – instance colorful-flock.demo.prestashop.com – Chrome 155 / Windows 11. URL : /4-men</t>
  </si>
  <si>
    <t>Cliquer sur « Home » dans le fil d'Ariane.</t>
  </si>
  <si>
    <t>Clic sur « Home » dans le fil d'Ariane → retour à la page d'accueil.</t>
  </si>
  <si>
    <t>Exécuté le 21/10/2026 – instance colorful-flock.demo.prestashop.com – Chrome 155 / Windows 11. URL : /</t>
  </si>
  <si>
    <t>TC-11</t>
  </si>
  <si>
    <t>Recherche de produits</t>
  </si>
  <si>
    <t>Boutique ouverte, champ « Search our catalog » visible.</t>
  </si>
  <si>
    <t>Saisir « mug » dans la recherche et valider (Entrée).</t>
  </si>
  <si>
    <t>La page de résultats liste uniquement des produits contenant « mug » (ex. mugs du catalogue de démo).</t>
  </si>
  <si>
    <t>« Search results for "mug" » – « There are 5 products. » : Customizable mug, Mug The best is yet to come, Mug The adventure begins, Mug Today is a good day, Pack Mug + Framed poster.</t>
  </si>
  <si>
    <t>REQ-06</t>
  </si>
  <si>
    <t>Exécuté le 21/10/2026 – instance colorful-flock.demo.prestashop.com – Chrome 155 / Windows 11. URL : /search ; recherche « mug » validée par Entrée.</t>
  </si>
  <si>
    <t>Saisir « shirt » sans valider.</t>
  </si>
  <si>
    <t>Des suggestions de produits correspondants apparaissent sous le champ.</t>
  </si>
  <si>
    <t>Suggestion affichée sous le champ : « Hummingbird printed t-shirt ».</t>
  </si>
  <si>
    <t>Exécuté le 21/10/2026 – instance colorful-flock.demo.prestashop.com – Chrome 155 / Windows 11. Saisie « shirt » sans validation.</t>
  </si>
  <si>
    <t>Rechercher « zzqxw » (mot inexistant).</t>
  </si>
  <si>
    <t>Aucun produit ; un message indique qu'aucun résultat n'a été trouvé, sans erreur technique.</t>
  </si>
  <si>
    <t>« Search results for "zzqxw" » – « There are 7 products. » : Mountain fox cushion, Mountain fox - Vector graphics, Mountain fox notebook, Brown bear - Vector graphics, Hummingbird - Vector graphics, Brown bear notebook, Hummingbird notebook. Aucun message « aucun résultat ».</t>
  </si>
  <si>
    <t>BUG-001</t>
  </si>
  <si>
    <t>Exécuté le 21/10/2026 – instance colorful-flock.demo.prestashop.com – Chrome 155 / Windows 11. URL : /search?controller=search&amp;s=zzqxw – reproduit 2 fois (saisie + URL directe). Voir rapport BUG-001.</t>
  </si>
  <si>
    <t>TC-12</t>
  </si>
  <si>
    <t>Filtres à facettes</t>
  </si>
  <si>
    <t>Page de la catégorie « Clothes » ouverte.</t>
  </si>
  <si>
    <t>Cocher un filtre dans le bloc « Filter by » (ex. Size = M).</t>
  </si>
  <si>
    <t>La liste est filtrée ; le filtre actif est affiché (« Active filters ») et le nombre de produits est mis à jour.</t>
  </si>
  <si>
    <t>Size = M coché : bandeau « Active filters » avec « Size: M », bouton « Clear all » ; compteur « There are 2 products. » (les 2 produits existent en M). Contrôle complémentaire Color = White → « There is 1 product. ».</t>
  </si>
  <si>
    <t>REQ-07</t>
  </si>
  <si>
    <t>Exécuté le 21/10/2026 – instance colorful-flock.demo.prestashop.com – Chrome 155 / Windows 11. URL : /3-clothes ; filtres Size M puis Size M + Color White.</t>
  </si>
  <si>
    <t>Cliquer sur « Clear all ».</t>
  </si>
  <si>
    <t>Tous les filtres sont retirés ; la liste complète réapparaît.</t>
  </si>
  <si>
    <t>Après « Clear all » : plus de bandeau « Active filters », aucune case cochée, « There are 2 products. » (liste complète).</t>
  </si>
  <si>
    <t>Exécuté le 21/10/2026 – instance colorful-flock.demo.prestashop.com – Chrome 155 / Windows 11. URL : /3-clothes</t>
  </si>
  <si>
    <t>TC-13</t>
  </si>
  <si>
    <t>Tri des produits</t>
  </si>
  <si>
    <t>Page d'une catégorie contenant plusieurs produits ouverte (ex. Accessories).</t>
  </si>
  <si>
    <t>Choisir « Sort by: Price, low to high ».</t>
  </si>
  <si>
    <t>Les produits s'affichent par prix croissant.</t>
  </si>
  <si>
    <t>« Price, low to high » : prix croissants (14,28 € ×3 ; 15,48 € ×3 ; 16,68 € ; 22,68 € ×3 ; 42,00 €).</t>
  </si>
  <si>
    <t>Exécuté le 21/10/2026 – instance colorful-flock.demo.prestashop.com – Chrome 155 / Windows 11. URL : /6-accessories (11 produits).</t>
  </si>
  <si>
    <t>Choisir « Sort by: Name, A to Z ».</t>
  </si>
  <si>
    <t>Les produits s'affichent par ordre alphabétique croissant.</t>
  </si>
  <si>
    <t>« Name, A to Z » : ordre alphabétique de « Brown bear cushion » à « Pack Mug + Framed poster » (vérifié par comparaison automatique).</t>
  </si>
  <si>
    <t>Exécuté le 21/10/2026 – instance colorful-flock.demo.prestashop.com – Chrome 155 / Windows 11. URL : /6-accessories</t>
  </si>
  <si>
    <t>TC-14</t>
  </si>
  <si>
    <t>Fiche produit</t>
  </si>
  <si>
    <t>Cliquer sur le produit « Hummingbird printed t-shirt ».</t>
  </si>
  <si>
    <t>La fiche affiche nom, prix, images, description, choix de taille/couleur, quantité et bouton « Add to cart ».</t>
  </si>
  <si>
    <t>Fiche affichée : nom « Hummingbird printed t-shirt », prix « €22.94 » (barré « €28.68 », « Save 20% », « Tax included »), image, description, Size (S/M/L/XL), Color (White/Black), quantité 1, bouton « Add to cart ».</t>
  </si>
  <si>
    <t>REQ-08</t>
  </si>
  <si>
    <t>Exécuté le 21/10/2026 – instance colorful-flock.demo.prestashop.com – Chrome 155 / Windows 11. URL : /1-1-hummingbird-printed-t-shirt.html ; fil d'Ariane Home / Clothes / Men / Hummingbird printed t-shirt.</t>
  </si>
  <si>
    <t>Changer la taille (ex. S → L) et cliquer sur une miniature d'image.</t>
  </si>
  <si>
    <t>La sélection de taille est mise à jour ; l'image principale change.</t>
  </si>
  <si>
    <t>Taille S → L : « Size: L » affiché, URL mise à jour. Une seule miniature disponible : le clic ne change pas l'image principale.</t>
  </si>
  <si>
    <t>Exécuté le 21/10/2026 – instance colorful-flock.demo.prestashop.com – Chrome 155 / Windows 11. URL : /1-5-hummingbird-printed-t-shirt.html. Changement d'image non vérifiable : la variante White n'a qu'une image (prévoir un produit avec 2+ images).</t>
  </si>
  <si>
    <t>TC-15</t>
  </si>
  <si>
    <t>Pagination des listes</t>
  </si>
  <si>
    <t>Une liste comportant plus d'une page de produits est ouverte (ex. résultats d'une recherche large ou catégorie « Home »).</t>
  </si>
  <si>
    <t>Cliquer sur la page « 2 » ou sur « Next » en bas de liste.</t>
  </si>
  <si>
    <t>Une nouvelle série de produits s'affiche ; l'indicateur de page est mis à jour.</t>
  </si>
  <si>
    <t>Clic sur « › » (page suivante) : « Showing 13-19 of 19 item(s) », 7 nouveaux produits (dont « Brown bear - Vector graphics »), page active « 2 ».</t>
  </si>
  <si>
    <t>Exécuté le 21/10/2026 – instance colorful-flock.demo.prestashop.com – Chrome 155 / Windows 11. URL : /2-home (19 produits, 12 par page). Les boutons sont des flèches ‹ › (pas de texte « Next/Previous »).</t>
  </si>
  <si>
    <t>Cliquer sur « Previous ».</t>
  </si>
  <si>
    <t>Retour à la première page de résultats.</t>
  </si>
  <si>
    <t>Clic sur « ‹ » (page précédente) : « Showing 1-12 of 19 item(s) », 12 premiers produits, page active « 1 ».</t>
  </si>
  <si>
    <t>Exécuté le 21/10/2026 – instance colorful-flock.demo.prestashop.com – Chrome 155 / Windows 11. URL : /2-home</t>
  </si>
  <si>
    <t>C. Panier</t>
  </si>
  <si>
    <t>TC-16</t>
  </si>
  <si>
    <t>Ajout d'un produit au panier</t>
  </si>
  <si>
    <t>Panier vide. Fiche « Hummingbird printed t-shirt » ouverte.</t>
  </si>
  <si>
    <t>Laisser la quantité à 1 et cliquer sur « Add to cart ».</t>
  </si>
  <si>
    <t>Fenêtre « Product successfully added to your shopping cart » avec nom, quantité, prix et total ; le compteur du panier passe à 1.</t>
  </si>
  <si>
    <t>Fenêtre « Added to your cart » : « Hummingbird printed t-shirt has been added to your cart. », €22.94, Size: S, Color: White, Quantity: 1, « There is 1 item in your cart. », Subtotal €22.94, Shipping Free, Total (tax incl.) €22.94 ; compteur « Cart 1 ».</t>
  </si>
  <si>
    <t>REQ-09</t>
  </si>
  <si>
    <t>Exécuté le 21/10/2026 – instance colorful-flock.demo.prestashop.com – Chrome 155 / Windows 11. URL : /1-1-hummingbird-printed-t-shirt.html. Titre réel « Added to your cart » (pas « Product successfully added to your shopping cart »).</t>
  </si>
  <si>
    <t>Cliquer sur « Proceed to checkout » dans la fenêtre.</t>
  </si>
  <si>
    <t>La page du panier (« Shopping Cart ») affiche le produit ajouté.</t>
  </si>
  <si>
    <t>Page « Shopping Cart » : Hummingbird printed t-shirt (S, White) €22.94, quantité 1.</t>
  </si>
  <si>
    <t>Exécuté le 21/10/2026 – instance colorful-flock.demo.prestashop.com – Chrome 155 / Windows 11. URL : /cart</t>
  </si>
  <si>
    <t>TC-17</t>
  </si>
  <si>
    <t>Modification des quantités</t>
  </si>
  <si>
    <t>Panier contenant 1 article (TC-16). Page du panier ouverte.</t>
  </si>
  <si>
    <t>Cliquer 2 fois sur « + » de la ligne produit.</t>
  </si>
  <si>
    <t>Quantité = 3 ; total de ligne = prix unitaire × 3 ; total du panier mis à jour.</t>
  </si>
  <si>
    <t>Quantité = 3, compteur « Cart 3 » ; total de ligne et total affichés €68.83 alors que 3 × €22.94 = €68.82.</t>
  </si>
  <si>
    <t>REQ-10</t>
  </si>
  <si>
    <t>BUG-002</t>
  </si>
  <si>
    <t>Exécuté le 21/10/2026 – instance colorful-flock.demo.prestashop.com – Chrome 155 / Windows 11. Écart d'arrondi de 0,01 €. Voir rapport BUG-002.</t>
  </si>
  <si>
    <t>Saisir 2 dans le champ quantité et valider.</t>
  </si>
  <si>
    <t>Quantité = 2 ; totaux recalculés.</t>
  </si>
  <si>
    <t>Quantité 2 saisie + Entrée : total de ligne et total « €45.89 », « 2 items », « Cart 2 ».</t>
  </si>
  <si>
    <t>Exécuté le 21/10/2026 – instance colorful-flock.demo.prestashop.com – Chrome 155 / Windows 11. Totaux recalculés ; même écart d'arrondi (2 × €22.94 = €45.88) – rattaché à BUG-002.</t>
  </si>
  <si>
    <t>TC-18</t>
  </si>
  <si>
    <t>Calcul du total du panier</t>
  </si>
  <si>
    <t>Panier contenant au moins 2 produits différents.</t>
  </si>
  <si>
    <t>Relever le total de chaque ligne et le sous-total affiché.</t>
  </si>
  <si>
    <t>Sous-total = somme des totaux de ligne.</t>
  </si>
  <si>
    <t>Lignes : t-shirt ×2 = €45.89 ; Mug Today is a good day ×1 = €14.28 ; sous-total « 3 items €60.17 » (45.89 + 14.28 = 60.17).</t>
  </si>
  <si>
    <t>Exécuté le 21/10/2026 – instance colorful-flock.demo.prestashop.com – Chrome 155 / Windows 11. URL : /cart?action=show</t>
  </si>
  <si>
    <t>Relever frais de livraison, taxes et total.</t>
  </si>
  <si>
    <t>Total = sous-total + livraison (+ taxes selon l'affichage HT/TTC), sans écart d'arrondi.</t>
  </si>
  <si>
    <t>Shipping « Free » ; Total (tax incl.) €60.17 = sous-total + 0 ; prix TTC, pas de ligne de taxe séparée.</t>
  </si>
  <si>
    <t>TC-19</t>
  </si>
  <si>
    <t>Suppression d'un produit et panier vide</t>
  </si>
  <si>
    <t>Panier contenant 2 produits différents.</t>
  </si>
  <si>
    <t>Cliquer sur l'icône de suppression d'une ligne.</t>
  </si>
  <si>
    <t>La ligne disparaît ; les totaux et le compteur du panier sont recalculés.</t>
  </si>
  <si>
    <t>« Remove » sur le mug : « Mug Today is a good day has been removed from the cart. » ; totaux €45.89 ; « Cart 2 ».</t>
  </si>
  <si>
    <t>Supprimer la dernière ligne.</t>
  </si>
  <si>
    <t>Message « There are no more items in your cart » ; compteur à 0 ; « Proceed to checkout » indisponible.</t>
  </si>
  <si>
    <t>« There are no more items in your cart » ; « 0 items €0.00 » ; « Cart 0 » ; bouton « Proceed to checkout » désactivé.</t>
  </si>
  <si>
    <t>Exécuté le 21/10/2026 – instance colorful-flock.demo.prestashop.com – Chrome 155 / Windows 11. Attribut disabled vérifié dans le code de la page.</t>
  </si>
  <si>
    <t>D. Commande (sans validation ni paiement)</t>
  </si>
  <si>
    <t>TC-20</t>
  </si>
  <si>
    <t>Accès au checkout et saisie de l'adresse</t>
  </si>
  <si>
    <t>Client connecté (compte TC-01) sans adresse enregistrée. Panier non vide.</t>
  </si>
  <si>
    <t>Depuis le panier, cliquer sur « Proceed to checkout ».</t>
  </si>
  <si>
    <t>Le tunnel s'ouvre ; l'étape « Personal Information » est validée (client connecté) ; l'étape « Addresses » est active.</t>
  </si>
  <si>
    <t>Tunnel ouvert : « Personal Information » validé (vert), « Addresses » actif.</t>
  </si>
  <si>
    <t>REQ-11</t>
  </si>
  <si>
    <t>Exécuté le 21/10/2026 – instance colorful-flock.demo.prestashop.com – Chrome 155 / Windows 11. Client connecté ; panier 1 t-shirt €22.94.</t>
  </si>
  <si>
    <t>Saisir Address = 1 Test Street ; City = Paris ; Zip = 75001 ; Country = France (données fictives), puis « Continue ».</t>
  </si>
  <si>
    <t>L'adresse est enregistrée ; l'étape « Shipping Method » s'ouvre.</t>
  </si>
  <si>
    <t>Adresse enregistrée (1 Test Street, 75001 Paris, France) ; l'étape « Shipping Method » s'ouvre.</t>
  </si>
  <si>
    <t>Exécuté le 21/10/2026 – instance colorful-flock.demo.prestashop.com – Chrome 155 / Windows 11. Exécuté après TC-21 en corrigeant le Zip en 75001.</t>
  </si>
  <si>
    <t>TC-21</t>
  </si>
  <si>
    <t>Validation des champs d'adresse</t>
  </si>
  <si>
    <t>Client connecté. Étape « Addresses » du checkout ouverte (formulaire d'adresse vide).</t>
  </si>
  <si>
    <t>Laisser Address et City vides, puis « Continue ».</t>
  </si>
  <si>
    <t>L'envoi est bloqué ; les champs obligatoires sont signalés.</t>
  </si>
  <si>
    <t>Envoi bloqué : Address, Zip/Postal Code et City encadrés en rouge avec icône d'erreur.</t>
  </si>
  <si>
    <t>Exécuté le 21/10/2026 – instance colorful-flock.demo.prestashop.com – Chrome 155 / Windows 11. Formulaire vide, Country = France.</t>
  </si>
  <si>
    <t>Country = France, Zip = ABCDE, autres champs valides, puis « Continue ».</t>
  </si>
  <si>
    <t>Message d'erreur sur le code postal (format attendu NNNNN) ; l'adresse n'est pas enregistrée.</t>
  </si>
  <si>
    <t>Rechargement avec le message « Invalid postcode - should look like "NNNNN" » ; adresse non enregistrée.</t>
  </si>
  <si>
    <t>Exécuté le 21/10/2026 – instance colorful-flock.demo.prestashop.com – Chrome 155 / Windows 11. Données : 1 Test Street / ABCDE / Paris / France.</t>
  </si>
  <si>
    <t>TC-22</t>
  </si>
  <si>
    <t>Choix du transporteur</t>
  </si>
  <si>
    <t>TC-20 exécuté. Étape « Shipping Method » ouverte.</t>
  </si>
  <si>
    <t>Observer la liste des transporteurs.</t>
  </si>
  <si>
    <t>Chaque transporteur affiche nom, délai et prix.</t>
  </si>
  <si>
    <t>« Click and collect – Pick up in-store – Free » ; « My carrier – Delivery next day! – €8.40 tax incl. ».</t>
  </si>
  <si>
    <t>Exécuté le 21/10/2026 – instance colorful-flock.demo.prestashop.com – Chrome 155 / Windows 11. Pour Click and collect, le délai est remplacé par « Pick up in-store ».</t>
  </si>
  <si>
    <t>Sélectionner un autre transporteur.</t>
  </si>
  <si>
    <t>Les frais de livraison et le total du récapitulatif sont mis à jour.</t>
  </si>
  <si>
    <t>« My carrier » sélectionné : Shipping €8.40, Total (tax incl.) €31.34 (22.94 + 8.40).</t>
  </si>
  <si>
    <t>Cliquer sur « Continue ».</t>
  </si>
  <si>
    <t>L'étape « Payment » s'ouvre.</t>
  </si>
  <si>
    <t>Clic sur « Continue to Payment » : l'étape « Payment » s'ouvre.</t>
  </si>
  <si>
    <t>Exécuté le 21/10/2026 – instance colorful-flock.demo.prestashop.com – Chrome 155 / Windows 11. Libellé réel du bouton : « Continue to Payment ».</t>
  </si>
  <si>
    <t>TC-23</t>
  </si>
  <si>
    <t>Vérification du récapitulatif (sans commander)</t>
  </si>
  <si>
    <t>Étape « Payment » ouverte. CONSIGNE : ne jamais cliquer sur « Place order ».</t>
  </si>
  <si>
    <t>Comparer le récapitulatif (produits, quantités, sous-total, livraison, total) au panier et au transporteur choisi.</t>
  </si>
  <si>
    <t>Les montants et quantités sont cohérents avec le panier et le transporteur.</t>
  </si>
  <si>
    <t>Récapitulatif : 1 item, Hummingbird printed t-shirt S/White « Quantity: x1 » €22.94, Subtotal €22.94, Shipping €8.40, Total €31.34 – cohérent avec panier et transporteur.</t>
  </si>
  <si>
    <t>Sans choisir de moyen de paiement ni cocher les conditions, observer le bouton « Place order ».</t>
  </si>
  <si>
    <t>Le bouton « Place order » est désactivé tant qu'un moyen de paiement et les conditions ne sont pas sélectionnés. Arrêt du test (aucune commande passée).</t>
  </si>
  <si>
    <t>Sans moyen de paiement ni case cochée, le bouton « Place Order » apparaît grisé (bleu pâle). Non cliqué – aucune commande passée.</t>
  </si>
  <si>
    <t>Exécuté le 21/10/2026 – instance colorful-flock.demo.prestashop.com – Chrome 155 / Windows 11. Vérification visuelle uniquement (code de la page non accessible dans l'iframe de démo).</t>
  </si>
  <si>
    <t>E. Compte client</t>
  </si>
  <si>
    <t>TC-24</t>
  </si>
  <si>
    <t>Consultation du profil</t>
  </si>
  <si>
    <t>Client connecté (compte TC-01).</t>
  </si>
  <si>
    <t>Cliquer sur le nom du client dans l'en-tête.</t>
  </si>
  <si>
    <t>La page « Your account » affiche les blocs Information, Addresses, Order history and details, etc.</t>
  </si>
  <si>
    <t>Clic sur le nom : menu (Your account, Information, Addresses, Orders, Credit slips, Sign out) ; « Your account » → « Welcome Jaber EL ABDELLAOUI » avec les blocs Information, Addresses, Order history and details, Credit slips, My alerts, GDPR - Personal data.</t>
  </si>
  <si>
    <t>REQ-12</t>
  </si>
  <si>
    <t>Exécuté le 21/10/2026 – instance colorful-flock.demo.prestashop.com – Chrome 155 / Windows 11. Un clic supplémentaire est nécessaire (menu déroulant).</t>
  </si>
  <si>
    <t>Ouvrir « Information ».</t>
  </si>
  <si>
    <t>Les données saisies à l'inscription (civilité, prénom, nom, email) sont pré-remplies.</t>
  </si>
  <si>
    <t>Champs pré-remplis : First name « Jaber », Last name « EL ABDELLAOUI », email du compte ; Social title = Mrs.</t>
  </si>
  <si>
    <t>Exécuté le 21/10/2026 – instance colorful-flock.demo.prestashop.com – Chrome 155 / Windows 11. Civilité choisie à l'inscription non confirmée par le testeur – pas d'anomalie retenue sans preuve.</t>
  </si>
  <si>
    <t>TC-25</t>
  </si>
  <si>
    <t>Modification des informations personnelles</t>
  </si>
  <si>
    <t>Client connecté. Page « Information » ouverte.</t>
  </si>
  <si>
    <t>Remplacer First name par « TestModifie », saisir le mot de passe actuel, cocher les cases obligatoires et « Save ».</t>
  </si>
  <si>
    <t>Message « Information successfully updated » ; le nom affiché dans l'en-tête est mis à jour.</t>
  </si>
  <si>
    <t>Message « Information successfully updated. » ; en-tête « TestModifie EL ABDE… ».</t>
  </si>
  <si>
    <t>Exécuté le 21/10/2026 – instance colorful-flock.demo.prestashop.com – Chrome 155 / Windows 11. Mot de passe actuel saisi par le testeur (hors document).</t>
  </si>
  <si>
    <t>Recommencer avec un mot de passe actuel incorrect.</t>
  </si>
  <si>
    <t>Message d'erreur ; aucune modification enregistrée.</t>
  </si>
  <si>
    <t>Messages « Could not update your information, please check your data. » et « Invalid email/password combination » ; en-tête inchangé « TestModifie… ».</t>
  </si>
  <si>
    <t>Exécuté le 21/10/2026 – instance colorful-flock.demo.prestashop.com – Chrome 155 / Windows 11. First name = TestErreur ; mot de passe incorrect saisi par le testeur.</t>
  </si>
  <si>
    <t>TC-26</t>
  </si>
  <si>
    <t>Gestion des adresses</t>
  </si>
  <si>
    <t>Client connecté avec l'adresse créée en TC-20.</t>
  </si>
  <si>
    <t>Ouvrir « Addresses ».</t>
  </si>
  <si>
    <t>L'adresse de TC-20 est listée.</t>
  </si>
  <si>
    <t>« My Address » listée : Jaber EL ABDELLAOUI, 1 Test Street, 75001 Paris, France.</t>
  </si>
  <si>
    <t>Exécuté le 21/10/2026 – instance colorful-flock.demo.prestashop.com – Chrome 155 / Windows 11. URL : Your account / Addresses</t>
  </si>
  <si>
    <t>Cliquer sur « Update », changer City = Lyon et Zip = 69001, puis « Save ».</t>
  </si>
  <si>
    <t>Message de succès ; l'adresse modifiée est affichée.</t>
  </si>
  <si>
    <t>Edit → City = Lyon, Zip = 69001 → Save : « Address successfully updated. » ; adresse affichée 69001 Lyon.</t>
  </si>
  <si>
    <t>Exécuté le 21/10/2026 – instance colorful-flock.demo.prestashop.com – Chrome 155 / Windows 11. Libellé réel « Edit » (pas « Update »).</t>
  </si>
  <si>
    <t>Cliquer sur « Create new address », saisir une 2e adresse fictive valide, puis « Save ».</t>
  </si>
  <si>
    <t>La nouvelle adresse apparaît dans la liste.</t>
  </si>
  <si>
    <t>« Add new address » → Save : « Address successfully added. » ; « Adresse 2 » (2 Rue Fictive, 13001 Marseille, France) apparaît dans la liste.</t>
  </si>
  <si>
    <t>Exécuté le 21/10/2026 – instance colorful-flock.demo.prestashop.com – Chrome 155 / Windows 11. Données fictives ; libellé réel « Add new address ».</t>
  </si>
  <si>
    <t>Cliquer sur « Delete » sur la 2e adresse.</t>
  </si>
  <si>
    <t>L'adresse est supprimée de la liste.</t>
  </si>
  <si>
    <t>« Delete » sur Adresse 2 : « Address successfully deleted. » ; seule « My Address » reste.</t>
  </si>
  <si>
    <t>TC-27</t>
  </si>
  <si>
    <t>Historique des commandes</t>
  </si>
  <si>
    <t>Client connecté. Aucune commande passée (consigne du projet).</t>
  </si>
  <si>
    <t>Ouvrir « Order history and details ».</t>
  </si>
  <si>
    <t>La page s'affiche avec un message indiquant qu'aucune commande n'a été passée.</t>
  </si>
  <si>
    <t>Page « Order history » : « You have not placed any orders. »</t>
  </si>
  <si>
    <t>Exécuté le 21/10/2026 – instance colorful-flock.demo.prestashop.com – Chrome 155 / Windows 11. Aucune commande passée.</t>
  </si>
  <si>
    <t>Description de l'exigence</t>
  </si>
  <si>
    <t>Source</t>
  </si>
  <si>
    <t>Priorité</t>
  </si>
  <si>
    <t>Cas de test couvrants</t>
  </si>
  <si>
    <t>Nb cas de test</t>
  </si>
  <si>
    <t>Étapes OK</t>
  </si>
  <si>
    <t>Étapes KO</t>
  </si>
  <si>
    <t>Étapes BLOCKED</t>
  </si>
  <si>
    <t>Étapes NOT RUN</t>
  </si>
  <si>
    <t>Statut exigence</t>
  </si>
  <si>
    <t>Un visiteur peut créer un compte client en renseignant les champs obligatoires.</t>
  </si>
  <si>
    <t>Brief §4.A</t>
  </si>
  <si>
    <t>Haute</t>
  </si>
  <si>
    <t>Le formulaire d'inscription refuse les champs obligatoires vides, un email invalide ou déjà utilisé, avec un message explicite.</t>
  </si>
  <si>
    <t>TC-02, TC-03, TC-04</t>
  </si>
  <si>
    <t>Un client se connecte avec des identifiants valides ; toute connexion avec identifiants invalides est refusée.</t>
  </si>
  <si>
    <t>TC-05, TC-06, TC-07</t>
  </si>
  <si>
    <t>Un client connecté peut se déconnecter ; les pages privées ne sont plus accessibles.</t>
  </si>
  <si>
    <t>La page d'accueil et le menu des catégories permettent de naviguer dans le catalogue.</t>
  </si>
  <si>
    <t>Brief §4.B</t>
  </si>
  <si>
    <t>Moyenne</t>
  </si>
  <si>
    <t>TC-09, TC-10</t>
  </si>
  <si>
    <t>La recherche renvoie les produits correspondant au mot-clé, ou un message si aucun résultat.</t>
  </si>
  <si>
    <t>Les filtres (facettes) et le tri réorganisent correctement la liste des produits.</t>
  </si>
  <si>
    <t>TC-12, TC-13</t>
  </si>
  <si>
    <t>La fiche produit affiche les informations du produit ; la pagination permet de parcourir les listes.</t>
  </si>
  <si>
    <t>TC-14, TC-15</t>
  </si>
  <si>
    <t>Un produit peut être ajouté au panier depuis sa fiche.</t>
  </si>
  <si>
    <t>Brief §4.C</t>
  </si>
  <si>
    <t>Le panier permet de modifier les quantités, supprimer un produit, calcule le total et gère le panier vide.</t>
  </si>
  <si>
    <t>TC-17, TC-18, TC-19</t>
  </si>
  <si>
    <t>Le tunnel de commande permet de saisir/valider l'adresse, choisir un transporteur et vérifier le récapitulatif (sans valider de commande).</t>
  </si>
  <si>
    <t>Brief §4.D</t>
  </si>
  <si>
    <t>TC-20, TC-21, TC-22, TC-23</t>
  </si>
  <si>
    <t>L'espace client permet de consulter/modifier ses informations, gérer ses adresses et voir l'historique des commandes.</t>
  </si>
  <si>
    <t>Brief §4.E</t>
  </si>
  <si>
    <t>TC-24, TC-25, TC-26, TC-27</t>
  </si>
  <si>
    <t>Titre du test</t>
  </si>
  <si>
    <t>Type</t>
  </si>
  <si>
    <t>Nb étapes</t>
  </si>
  <si>
    <t>Statut du test</t>
  </si>
  <si>
    <t>Indicateurs (calculés automatiquement)</t>
  </si>
  <si>
    <t>Nombre total de cas de test</t>
  </si>
  <si>
    <t>Tests exécutés (OK + KO)</t>
  </si>
  <si>
    <t>PASS (OK)</t>
  </si>
  <si>
    <t>FAIL (KO)</t>
  </si>
  <si>
    <t>Bugs confirmés (Bug ID distincts, lot 1 col. M)</t>
  </si>
  <si>
    <t>Taux de réussite (OK / exécutés)</t>
  </si>
  <si>
    <t>Exigences couvertes / total</t>
  </si>
  <si>
    <t>« Exécuté » = statut OK ou KO. BLOCKED et NOT RUN sont exclus du taux de réussite.</t>
  </si>
  <si>
    <t>Google Chrome</t>
  </si>
  <si>
    <t>Jaber El Abdellaoui (étudiant GOMYCODE)</t>
  </si>
  <si>
    <t>Maroc</t>
  </si>
  <si>
    <t xml:space="preserve">N/A 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</si>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</sst>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%"/>
  </numFmts>
  <fonts count="16" x14ac:knownFonts="1">
    <font>
      <sz val="11"/>
      <color theme="1"/>
      <name val="Calibri"/>
      <charset val="1"/>
    </font>
    <font>
      <b/>
      <sz val="12"/>
      <color rgb="FF006100"/>
      <name val="Calibri"/>
      <charset val="1"/>
    </font>
    <font>
      <sz val="11"/>
      <color theme="0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6"/>
      <name val="Calibri"/>
      <charset val="1"/>
    </font>
    <font>
      <b/>
      <sz val="16"/>
      <color rgb="FF0070C0"/>
      <name val="Calibri"/>
      <charset val="1"/>
    </font>
    <font>
      <b/>
      <sz val="11"/>
      <color rgb="FFFFFFFF"/>
      <name val="Calibri"/>
      <charset val="1"/>
    </font>
    <font>
      <b/>
      <sz val="12"/>
      <name val="Calibri"/>
      <charset val="1"/>
    </font>
    <font>
      <b/>
      <sz val="14"/>
      <name val="Calibri"/>
      <charset val="1"/>
    </font>
    <font>
      <i/>
      <sz val="9"/>
      <color rgb="FF595959"/>
      <name val="Calibri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  <font>
      <i/>
      <sz val="9"/>
      <name val="Cambria"/>
      <charset val="1"/>
    </font>
    <font>
      <sz val="10"/>
      <color rgb="FFC00000"/>
      <name val="Cambria"/>
      <charset val="1"/>
    </font>
    <font>
      <i/>
      <sz val="9"/>
      <name val="Calibri"/>
      <charset val="1"/>
    </font>
  </fonts>
  <fills count="15">
    <fill>
      <patternFill patternType="none"/>
    </fill>
    <fill>
      <patternFill patternType="gray125"/>
    </fill>
    <fill>
      <patternFill patternType="solid">
        <fgColor rgb="FFC6EFCE"/>
        <bgColor rgb="FFC5E0B3"/>
      </patternFill>
    </fill>
    <fill>
      <patternFill patternType="solid">
        <fgColor theme="9"/>
        <bgColor rgb="FF99CC00"/>
      </patternFill>
    </fill>
    <fill>
      <patternFill patternType="solid">
        <fgColor rgb="FF404040"/>
        <bgColor rgb="FF333300"/>
      </patternFill>
    </fill>
    <fill>
      <patternFill patternType="solid">
        <fgColor rgb="FFF4B083"/>
        <bgColor rgb="FFF8CBAD"/>
      </patternFill>
    </fill>
    <fill>
      <patternFill patternType="solid">
        <fgColor rgb="FFC5E0B3"/>
        <bgColor rgb="FFC6EFCE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00000"/>
      </patternFill>
    </fill>
    <fill>
      <patternFill patternType="solid">
        <fgColor rgb="FFFFC000"/>
        <bgColor rgb="FFFF9900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8CBAD"/>
      </patternFill>
    </fill>
    <fill>
      <patternFill patternType="solid">
        <fgColor rgb="FFB4C6E7"/>
        <bgColor rgb="FFBFBFBF"/>
      </patternFill>
    </fill>
    <fill>
      <patternFill patternType="solid">
        <fgColor rgb="FFE2BAE0"/>
        <bgColor rgb="FFBFBFBF"/>
      </patternFill>
    </fill>
    <fill>
      <patternFill patternType="solid">
        <fgColor rgb="FFF8CBAD"/>
        <bgColor rgb="FFFFE598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0" xfId="0" applyFont="1"/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0" borderId="0" xfId="0" applyFont="1"/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5" fillId="0" borderId="0" xfId="0" applyFont="1"/>
    <xf numFmtId="1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left" vertical="center" wrapText="1"/>
    </xf>
    <xf numFmtId="0" fontId="0" fillId="0" borderId="4" xfId="0" applyBorder="1"/>
    <xf numFmtId="0" fontId="4" fillId="14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0" fillId="0" borderId="0" xfId="0"/>
    <xf numFmtId="0" fontId="4" fillId="12" borderId="2" xfId="0" applyFont="1" applyFill="1" applyBorder="1" applyAlignment="1">
      <alignment horizontal="left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</font>
      <fill>
        <patternFill>
          <bgColor rgb="FFBFBFBF"/>
        </patternFill>
      </fill>
    </dxf>
    <dxf>
      <font>
        <b/>
      </font>
      <fill>
        <patternFill>
          <bgColor rgb="FFFFC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00B05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rgb="FFBFBFBF"/>
        </patternFill>
      </fill>
    </dxf>
    <dxf>
      <font>
        <b/>
      </font>
      <fill>
        <patternFill>
          <bgColor rgb="FFFFC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00B050"/>
        </patternFill>
      </fill>
    </dxf>
    <dxf>
      <font>
        <b/>
        <color rgb="FF000000"/>
      </font>
      <fill>
        <patternFill>
          <bgColor rgb="FFBFBFBF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5E0B3"/>
      <rgbColor rgb="FF660066"/>
      <rgbColor rgb="FFFF8080"/>
      <rgbColor rgb="FF0070C0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598"/>
      <rgbColor rgb="FF99CCFF"/>
      <rgbColor rgb="FFF4B083"/>
      <rgbColor rgb="FFE2BAE0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003366"/>
      <rgbColor rgb="FF00B050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B3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B15" headerRowCount="0" totalsRowShown="0">
  <tableColumns count="2">
    <tableColumn id="1" xr3:uid="{00000000-0010-0000-0100-000001000000}" name="Column1"/>
    <tableColumn id="2" xr3:uid="{00000000-0010-0000-0100-000002000000}" name="Column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zoomScaleNormal="100" workbookViewId="0">
      <selection activeCell="B5" sqref="B5"/>
    </sheetView>
  </sheetViews>
  <sheetFormatPr baseColWidth="10" defaultColWidth="14.44140625" defaultRowHeight="14.4" x14ac:dyDescent="0.3"/>
  <cols>
    <col min="1" max="1" width="18.88671875" customWidth="1"/>
    <col min="2" max="2" width="70" customWidth="1"/>
    <col min="3" max="26" width="10.88671875" customWidth="1"/>
  </cols>
  <sheetData>
    <row r="1" spans="1:2" ht="14.25" customHeight="1" x14ac:dyDescent="0.3"/>
    <row r="2" spans="1:2" ht="14.25" customHeight="1" x14ac:dyDescent="0.3"/>
    <row r="3" spans="1:2" ht="14.25" customHeight="1" x14ac:dyDescent="0.3">
      <c r="A3" s="1" t="s">
        <v>0</v>
      </c>
      <c r="B3" s="2"/>
    </row>
    <row r="4" spans="1:2" ht="14.25" customHeight="1" x14ac:dyDescent="0.3">
      <c r="A4" s="3" t="s">
        <v>1</v>
      </c>
      <c r="B4" s="4" t="s">
        <v>2</v>
      </c>
    </row>
    <row r="5" spans="1:2" ht="14.25" customHeight="1" x14ac:dyDescent="0.3">
      <c r="A5" s="3" t="s">
        <v>3</v>
      </c>
      <c r="B5" s="5"/>
    </row>
    <row r="6" spans="1:2" ht="14.25" customHeight="1" x14ac:dyDescent="0.3">
      <c r="A6" s="3" t="s">
        <v>4</v>
      </c>
      <c r="B6" s="54">
        <v>46316</v>
      </c>
    </row>
    <row r="7" spans="1:2" ht="14.25" customHeight="1" x14ac:dyDescent="0.3">
      <c r="A7" s="3" t="s">
        <v>5</v>
      </c>
      <c r="B7" s="4" t="s">
        <v>423</v>
      </c>
    </row>
    <row r="8" spans="1:2" ht="14.25" customHeight="1" x14ac:dyDescent="0.3">
      <c r="A8" s="3" t="s">
        <v>6</v>
      </c>
      <c r="B8" s="4" t="s">
        <v>7</v>
      </c>
    </row>
    <row r="9" spans="1:2" ht="14.25" customHeight="1" x14ac:dyDescent="0.3">
      <c r="A9" s="3" t="s">
        <v>8</v>
      </c>
      <c r="B9" s="4" t="s">
        <v>422</v>
      </c>
    </row>
    <row r="10" spans="1:2" ht="14.25" customHeight="1" x14ac:dyDescent="0.3">
      <c r="A10" s="3" t="s">
        <v>9</v>
      </c>
      <c r="B10" s="4" t="s">
        <v>425</v>
      </c>
    </row>
    <row r="11" spans="1:2" ht="14.25" customHeight="1" x14ac:dyDescent="0.3">
      <c r="A11" s="3" t="s">
        <v>10</v>
      </c>
      <c r="B11" s="4" t="s">
        <v>425</v>
      </c>
    </row>
    <row r="12" spans="1:2" ht="14.25" customHeight="1" x14ac:dyDescent="0.3">
      <c r="A12" s="3" t="s">
        <v>11</v>
      </c>
      <c r="B12" s="4" t="s">
        <v>424</v>
      </c>
    </row>
    <row r="13" spans="1:2" ht="14.25" customHeight="1" x14ac:dyDescent="0.3">
      <c r="A13" s="3" t="s">
        <v>12</v>
      </c>
      <c r="B13" s="4" t="s">
        <v>426</v>
      </c>
    </row>
    <row r="14" spans="1:2" ht="14.25" customHeight="1" x14ac:dyDescent="0.3">
      <c r="A14" s="3" t="s">
        <v>13</v>
      </c>
      <c r="B14" s="4" t="s">
        <v>425</v>
      </c>
    </row>
    <row r="15" spans="1:2" ht="14.25" customHeight="1" x14ac:dyDescent="0.3">
      <c r="A15" s="3" t="s">
        <v>14</v>
      </c>
      <c r="B15" s="4" t="s">
        <v>15</v>
      </c>
    </row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511811023622047" footer="0.511811023622047"/>
  <pageSetup orientation="landscape" horizontalDpi="300" verticalDpi="30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00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ColWidth="14.44140625" defaultRowHeight="14.4" x14ac:dyDescent="0.3"/>
  <cols>
    <col min="1" max="1" width="12" customWidth="1"/>
    <col min="2" max="2" width="18.109375" customWidth="1"/>
    <col min="3" max="3" width="13.5546875" customWidth="1"/>
    <col min="4" max="4" width="19.88671875" customWidth="1"/>
    <col min="5" max="5" width="14.88671875" customWidth="1"/>
    <col min="6" max="6" width="31.88671875" customWidth="1"/>
    <col min="7" max="7" width="10.6640625" customWidth="1"/>
    <col min="8" max="8" width="60.33203125" customWidth="1"/>
    <col min="9" max="9" width="67.5546875" customWidth="1"/>
    <col min="10" max="10" width="18.5546875" customWidth="1"/>
    <col min="11" max="11" width="11.6640625" customWidth="1"/>
    <col min="12" max="26" width="13" customWidth="1"/>
  </cols>
  <sheetData>
    <row r="1" spans="1:17" ht="58.5" customHeight="1" x14ac:dyDescent="0.3">
      <c r="A1" s="6" t="s">
        <v>16</v>
      </c>
      <c r="B1" s="7"/>
      <c r="C1" s="7"/>
      <c r="D1" s="7"/>
    </row>
    <row r="2" spans="1:17" ht="30" customHeight="1" x14ac:dyDescent="0.3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28</v>
      </c>
      <c r="M2" s="8" t="s">
        <v>29</v>
      </c>
      <c r="N2" s="8" t="s">
        <v>30</v>
      </c>
      <c r="P2" s="9" t="s">
        <v>31</v>
      </c>
    </row>
    <row r="3" spans="1:17" ht="31.5" customHeight="1" x14ac:dyDescent="0.3">
      <c r="A3" s="53" t="s">
        <v>32</v>
      </c>
      <c r="B3" s="47" t="s">
        <v>33</v>
      </c>
      <c r="C3" s="10" t="s">
        <v>34</v>
      </c>
      <c r="D3" s="37" t="s">
        <v>35</v>
      </c>
      <c r="E3" s="37" t="s">
        <v>36</v>
      </c>
      <c r="F3" s="41" t="s">
        <v>37</v>
      </c>
      <c r="G3" s="10">
        <v>1</v>
      </c>
      <c r="H3" s="11" t="s">
        <v>38</v>
      </c>
      <c r="I3" s="11" t="s">
        <v>39</v>
      </c>
      <c r="J3" s="11" t="s">
        <v>40</v>
      </c>
      <c r="K3" s="12" t="s">
        <v>41</v>
      </c>
      <c r="L3" s="10" t="s">
        <v>42</v>
      </c>
      <c r="M3" s="10"/>
      <c r="N3" s="13" t="s">
        <v>43</v>
      </c>
      <c r="P3" s="14" t="s">
        <v>41</v>
      </c>
      <c r="Q3" s="15" t="s">
        <v>44</v>
      </c>
    </row>
    <row r="4" spans="1:17" ht="31.5" customHeight="1" x14ac:dyDescent="0.3">
      <c r="A4" s="38"/>
      <c r="B4" s="38"/>
      <c r="C4" s="10" t="s">
        <v>34</v>
      </c>
      <c r="D4" s="38"/>
      <c r="E4" s="38"/>
      <c r="F4" s="38"/>
      <c r="G4" s="10">
        <v>2</v>
      </c>
      <c r="H4" s="11" t="s">
        <v>45</v>
      </c>
      <c r="I4" s="11" t="s">
        <v>46</v>
      </c>
      <c r="J4" s="11" t="s">
        <v>47</v>
      </c>
      <c r="K4" s="12" t="s">
        <v>41</v>
      </c>
      <c r="L4" s="10" t="s">
        <v>42</v>
      </c>
      <c r="M4" s="10"/>
      <c r="N4" s="13" t="s">
        <v>48</v>
      </c>
      <c r="P4" s="16" t="s">
        <v>49</v>
      </c>
      <c r="Q4" s="15" t="s">
        <v>50</v>
      </c>
    </row>
    <row r="5" spans="1:17" ht="63.75" customHeight="1" x14ac:dyDescent="0.3">
      <c r="A5" s="38"/>
      <c r="B5" s="38"/>
      <c r="C5" s="10" t="s">
        <v>34</v>
      </c>
      <c r="D5" s="38"/>
      <c r="E5" s="38"/>
      <c r="F5" s="38"/>
      <c r="G5" s="10">
        <v>3</v>
      </c>
      <c r="H5" s="11" t="s">
        <v>51</v>
      </c>
      <c r="I5" s="11" t="s">
        <v>52</v>
      </c>
      <c r="J5" s="11" t="s">
        <v>53</v>
      </c>
      <c r="K5" s="12" t="s">
        <v>41</v>
      </c>
      <c r="L5" s="10" t="s">
        <v>42</v>
      </c>
      <c r="M5" s="10"/>
      <c r="N5" s="13" t="s">
        <v>54</v>
      </c>
      <c r="P5" s="17" t="s">
        <v>55</v>
      </c>
      <c r="Q5" s="15" t="s">
        <v>56</v>
      </c>
    </row>
    <row r="6" spans="1:17" ht="31.5" customHeight="1" x14ac:dyDescent="0.3">
      <c r="A6" s="38"/>
      <c r="B6" s="38"/>
      <c r="C6" s="10" t="s">
        <v>34</v>
      </c>
      <c r="D6" s="38"/>
      <c r="E6" s="38"/>
      <c r="F6" s="38"/>
      <c r="G6" s="10">
        <v>4</v>
      </c>
      <c r="H6" s="11" t="s">
        <v>57</v>
      </c>
      <c r="I6" s="11" t="s">
        <v>58</v>
      </c>
      <c r="J6" s="11" t="s">
        <v>59</v>
      </c>
      <c r="K6" s="12" t="s">
        <v>41</v>
      </c>
      <c r="L6" s="10" t="s">
        <v>42</v>
      </c>
      <c r="M6" s="10"/>
      <c r="N6" s="13" t="s">
        <v>60</v>
      </c>
      <c r="P6" s="18" t="s">
        <v>61</v>
      </c>
      <c r="Q6" s="15" t="s">
        <v>62</v>
      </c>
    </row>
    <row r="7" spans="1:17" ht="48" customHeight="1" x14ac:dyDescent="0.3">
      <c r="A7" s="38"/>
      <c r="B7" s="38"/>
      <c r="C7" s="10" t="s">
        <v>34</v>
      </c>
      <c r="D7" s="35"/>
      <c r="E7" s="35"/>
      <c r="F7" s="35"/>
      <c r="G7" s="10">
        <v>5</v>
      </c>
      <c r="H7" s="11" t="s">
        <v>63</v>
      </c>
      <c r="I7" s="11" t="s">
        <v>64</v>
      </c>
      <c r="J7" s="11" t="s">
        <v>65</v>
      </c>
      <c r="K7" s="12" t="s">
        <v>41</v>
      </c>
      <c r="L7" s="10" t="s">
        <v>42</v>
      </c>
      <c r="M7" s="10"/>
      <c r="N7" s="13" t="s">
        <v>66</v>
      </c>
    </row>
    <row r="8" spans="1:17" ht="48" customHeight="1" x14ac:dyDescent="0.3">
      <c r="A8" s="38"/>
      <c r="B8" s="38"/>
      <c r="C8" s="10" t="s">
        <v>67</v>
      </c>
      <c r="D8" s="37" t="s">
        <v>68</v>
      </c>
      <c r="E8" s="37" t="s">
        <v>69</v>
      </c>
      <c r="F8" s="41" t="s">
        <v>70</v>
      </c>
      <c r="G8" s="10">
        <v>1</v>
      </c>
      <c r="H8" s="11" t="s">
        <v>71</v>
      </c>
      <c r="I8" s="11" t="s">
        <v>72</v>
      </c>
      <c r="J8" s="11" t="s">
        <v>73</v>
      </c>
      <c r="K8" s="12" t="s">
        <v>41</v>
      </c>
      <c r="L8" s="10" t="s">
        <v>74</v>
      </c>
      <c r="M8" s="10"/>
      <c r="N8" s="13" t="s">
        <v>75</v>
      </c>
      <c r="P8" s="19" t="s">
        <v>76</v>
      </c>
    </row>
    <row r="9" spans="1:17" ht="31.5" customHeight="1" x14ac:dyDescent="0.3">
      <c r="A9" s="38"/>
      <c r="B9" s="38"/>
      <c r="C9" s="10" t="s">
        <v>67</v>
      </c>
      <c r="D9" s="35"/>
      <c r="E9" s="35"/>
      <c r="F9" s="35"/>
      <c r="G9" s="10">
        <v>2</v>
      </c>
      <c r="H9" s="11" t="s">
        <v>77</v>
      </c>
      <c r="I9" s="11" t="s">
        <v>78</v>
      </c>
      <c r="J9" s="11" t="s">
        <v>79</v>
      </c>
      <c r="K9" s="12" t="s">
        <v>41</v>
      </c>
      <c r="L9" s="10" t="s">
        <v>74</v>
      </c>
      <c r="M9" s="10"/>
      <c r="N9" s="13" t="s">
        <v>80</v>
      </c>
    </row>
    <row r="10" spans="1:17" ht="31.5" customHeight="1" x14ac:dyDescent="0.3">
      <c r="A10" s="38"/>
      <c r="B10" s="38"/>
      <c r="C10" s="10" t="s">
        <v>81</v>
      </c>
      <c r="D10" s="37" t="s">
        <v>82</v>
      </c>
      <c r="E10" s="37" t="s">
        <v>69</v>
      </c>
      <c r="F10" s="41" t="s">
        <v>70</v>
      </c>
      <c r="G10" s="10">
        <v>1</v>
      </c>
      <c r="H10" s="11" t="s">
        <v>83</v>
      </c>
      <c r="I10" s="11" t="s">
        <v>84</v>
      </c>
      <c r="J10" s="11" t="s">
        <v>85</v>
      </c>
      <c r="K10" s="12" t="s">
        <v>41</v>
      </c>
      <c r="L10" s="10" t="s">
        <v>74</v>
      </c>
      <c r="M10" s="10"/>
      <c r="N10" s="13" t="s">
        <v>86</v>
      </c>
      <c r="P10" s="43" t="s">
        <v>87</v>
      </c>
      <c r="Q10" s="44"/>
    </row>
    <row r="11" spans="1:17" ht="31.5" customHeight="1" x14ac:dyDescent="0.3">
      <c r="A11" s="38"/>
      <c r="B11" s="38"/>
      <c r="C11" s="10" t="s">
        <v>81</v>
      </c>
      <c r="D11" s="35"/>
      <c r="E11" s="35"/>
      <c r="F11" s="35"/>
      <c r="G11" s="10">
        <v>2</v>
      </c>
      <c r="H11" s="11" t="s">
        <v>88</v>
      </c>
      <c r="I11" s="11" t="s">
        <v>89</v>
      </c>
      <c r="J11" s="11" t="s">
        <v>90</v>
      </c>
      <c r="K11" s="12" t="s">
        <v>41</v>
      </c>
      <c r="L11" s="10" t="s">
        <v>74</v>
      </c>
      <c r="M11" s="10"/>
      <c r="N11" s="13" t="s">
        <v>91</v>
      </c>
      <c r="P11" s="44"/>
      <c r="Q11" s="44"/>
    </row>
    <row r="12" spans="1:17" ht="31.5" customHeight="1" x14ac:dyDescent="0.3">
      <c r="A12" s="38"/>
      <c r="B12" s="38"/>
      <c r="C12" s="10" t="s">
        <v>92</v>
      </c>
      <c r="D12" s="10" t="s">
        <v>93</v>
      </c>
      <c r="E12" s="10" t="s">
        <v>69</v>
      </c>
      <c r="F12" s="11" t="s">
        <v>94</v>
      </c>
      <c r="G12" s="10">
        <v>1</v>
      </c>
      <c r="H12" s="11" t="s">
        <v>95</v>
      </c>
      <c r="I12" s="11" t="s">
        <v>96</v>
      </c>
      <c r="J12" s="11" t="s">
        <v>97</v>
      </c>
      <c r="K12" s="12" t="s">
        <v>41</v>
      </c>
      <c r="L12" s="10" t="s">
        <v>74</v>
      </c>
      <c r="M12" s="10"/>
      <c r="N12" s="13" t="s">
        <v>98</v>
      </c>
      <c r="P12" s="44"/>
      <c r="Q12" s="44"/>
    </row>
    <row r="13" spans="1:17" ht="31.5" customHeight="1" x14ac:dyDescent="0.3">
      <c r="A13" s="38"/>
      <c r="B13" s="38"/>
      <c r="C13" s="10" t="s">
        <v>99</v>
      </c>
      <c r="D13" s="37" t="s">
        <v>100</v>
      </c>
      <c r="E13" s="37" t="s">
        <v>36</v>
      </c>
      <c r="F13" s="41" t="s">
        <v>101</v>
      </c>
      <c r="G13" s="10">
        <v>1</v>
      </c>
      <c r="H13" s="11" t="s">
        <v>102</v>
      </c>
      <c r="I13" s="11" t="s">
        <v>39</v>
      </c>
      <c r="J13" s="11" t="s">
        <v>103</v>
      </c>
      <c r="K13" s="12" t="s">
        <v>41</v>
      </c>
      <c r="L13" s="10" t="s">
        <v>104</v>
      </c>
      <c r="M13" s="10"/>
      <c r="N13" s="13" t="s">
        <v>105</v>
      </c>
      <c r="P13" s="44"/>
      <c r="Q13" s="44"/>
    </row>
    <row r="14" spans="1:17" ht="48" customHeight="1" x14ac:dyDescent="0.3">
      <c r="A14" s="38"/>
      <c r="B14" s="38"/>
      <c r="C14" s="10" t="s">
        <v>99</v>
      </c>
      <c r="D14" s="35"/>
      <c r="E14" s="35"/>
      <c r="F14" s="35"/>
      <c r="G14" s="10">
        <v>2</v>
      </c>
      <c r="H14" s="11" t="s">
        <v>106</v>
      </c>
      <c r="I14" s="11" t="s">
        <v>107</v>
      </c>
      <c r="J14" s="11" t="s">
        <v>108</v>
      </c>
      <c r="K14" s="12" t="s">
        <v>41</v>
      </c>
      <c r="L14" s="10" t="s">
        <v>104</v>
      </c>
      <c r="M14" s="10"/>
      <c r="N14" s="13" t="s">
        <v>109</v>
      </c>
      <c r="P14" s="44"/>
      <c r="Q14" s="44"/>
    </row>
    <row r="15" spans="1:17" ht="31.5" customHeight="1" x14ac:dyDescent="0.3">
      <c r="A15" s="38"/>
      <c r="B15" s="38"/>
      <c r="C15" s="10" t="s">
        <v>110</v>
      </c>
      <c r="D15" s="10" t="s">
        <v>111</v>
      </c>
      <c r="E15" s="10" t="s">
        <v>69</v>
      </c>
      <c r="F15" s="11" t="s">
        <v>112</v>
      </c>
      <c r="G15" s="10">
        <v>1</v>
      </c>
      <c r="H15" s="11" t="s">
        <v>113</v>
      </c>
      <c r="I15" s="11" t="s">
        <v>114</v>
      </c>
      <c r="J15" s="11" t="s">
        <v>115</v>
      </c>
      <c r="K15" s="12" t="s">
        <v>41</v>
      </c>
      <c r="L15" s="10" t="s">
        <v>104</v>
      </c>
      <c r="M15" s="10"/>
      <c r="N15" s="13" t="s">
        <v>116</v>
      </c>
    </row>
    <row r="16" spans="1:17" ht="31.5" customHeight="1" x14ac:dyDescent="0.3">
      <c r="A16" s="38"/>
      <c r="B16" s="38"/>
      <c r="C16" s="10" t="s">
        <v>117</v>
      </c>
      <c r="D16" s="37" t="s">
        <v>118</v>
      </c>
      <c r="E16" s="37" t="s">
        <v>69</v>
      </c>
      <c r="F16" s="41" t="s">
        <v>119</v>
      </c>
      <c r="G16" s="10">
        <v>1</v>
      </c>
      <c r="H16" s="11" t="s">
        <v>120</v>
      </c>
      <c r="I16" s="11" t="s">
        <v>121</v>
      </c>
      <c r="J16" s="11" t="s">
        <v>122</v>
      </c>
      <c r="K16" s="12" t="s">
        <v>41</v>
      </c>
      <c r="L16" s="10" t="s">
        <v>104</v>
      </c>
      <c r="M16" s="10"/>
      <c r="N16" s="13" t="s">
        <v>123</v>
      </c>
    </row>
    <row r="17" spans="1:14" ht="31.5" customHeight="1" x14ac:dyDescent="0.3">
      <c r="A17" s="38"/>
      <c r="B17" s="38"/>
      <c r="C17" s="10" t="s">
        <v>117</v>
      </c>
      <c r="D17" s="35"/>
      <c r="E17" s="35"/>
      <c r="F17" s="35"/>
      <c r="G17" s="10">
        <v>2</v>
      </c>
      <c r="H17" s="11" t="s">
        <v>124</v>
      </c>
      <c r="I17" s="11" t="s">
        <v>125</v>
      </c>
      <c r="J17" s="11" t="s">
        <v>126</v>
      </c>
      <c r="K17" s="12" t="s">
        <v>41</v>
      </c>
      <c r="L17" s="10" t="s">
        <v>104</v>
      </c>
      <c r="M17" s="10"/>
      <c r="N17" s="13" t="s">
        <v>127</v>
      </c>
    </row>
    <row r="18" spans="1:14" ht="31.5" customHeight="1" x14ac:dyDescent="0.3">
      <c r="A18" s="38"/>
      <c r="B18" s="38"/>
      <c r="C18" s="10" t="s">
        <v>128</v>
      </c>
      <c r="D18" s="37" t="s">
        <v>129</v>
      </c>
      <c r="E18" s="37" t="s">
        <v>36</v>
      </c>
      <c r="F18" s="41" t="s">
        <v>130</v>
      </c>
      <c r="G18" s="10">
        <v>1</v>
      </c>
      <c r="H18" s="11" t="s">
        <v>131</v>
      </c>
      <c r="I18" s="11" t="s">
        <v>132</v>
      </c>
      <c r="J18" s="11" t="s">
        <v>133</v>
      </c>
      <c r="K18" s="12" t="s">
        <v>41</v>
      </c>
      <c r="L18" s="10" t="s">
        <v>134</v>
      </c>
      <c r="M18" s="10"/>
      <c r="N18" s="13" t="s">
        <v>135</v>
      </c>
    </row>
    <row r="19" spans="1:14" ht="31.5" customHeight="1" x14ac:dyDescent="0.3">
      <c r="A19" s="38"/>
      <c r="B19" s="35"/>
      <c r="C19" s="10" t="s">
        <v>128</v>
      </c>
      <c r="D19" s="35"/>
      <c r="E19" s="35"/>
      <c r="F19" s="35"/>
      <c r="G19" s="10">
        <v>2</v>
      </c>
      <c r="H19" s="11" t="s">
        <v>136</v>
      </c>
      <c r="I19" s="11" t="s">
        <v>137</v>
      </c>
      <c r="J19" s="11" t="s">
        <v>138</v>
      </c>
      <c r="K19" s="12" t="s">
        <v>41</v>
      </c>
      <c r="L19" s="10" t="s">
        <v>134</v>
      </c>
      <c r="M19" s="10"/>
      <c r="N19" s="13" t="s">
        <v>139</v>
      </c>
    </row>
    <row r="20" spans="1:14" ht="48" customHeight="1" x14ac:dyDescent="0.3">
      <c r="A20" s="38"/>
      <c r="B20" s="48" t="s">
        <v>140</v>
      </c>
      <c r="C20" s="20" t="s">
        <v>141</v>
      </c>
      <c r="D20" s="39" t="s">
        <v>142</v>
      </c>
      <c r="E20" s="39" t="s">
        <v>36</v>
      </c>
      <c r="F20" s="42" t="s">
        <v>143</v>
      </c>
      <c r="G20" s="20">
        <v>1</v>
      </c>
      <c r="H20" s="21" t="s">
        <v>144</v>
      </c>
      <c r="I20" s="21" t="s">
        <v>145</v>
      </c>
      <c r="J20" s="21" t="s">
        <v>146</v>
      </c>
      <c r="K20" s="12" t="s">
        <v>41</v>
      </c>
      <c r="L20" s="20" t="s">
        <v>147</v>
      </c>
      <c r="M20" s="20"/>
      <c r="N20" s="13" t="s">
        <v>148</v>
      </c>
    </row>
    <row r="21" spans="1:14" ht="31.5" customHeight="1" x14ac:dyDescent="0.3">
      <c r="A21" s="38"/>
      <c r="B21" s="38"/>
      <c r="C21" s="20" t="s">
        <v>141</v>
      </c>
      <c r="D21" s="35"/>
      <c r="E21" s="35"/>
      <c r="F21" s="35"/>
      <c r="G21" s="20">
        <v>2</v>
      </c>
      <c r="H21" s="21" t="s">
        <v>149</v>
      </c>
      <c r="I21" s="21" t="s">
        <v>150</v>
      </c>
      <c r="J21" s="21" t="s">
        <v>151</v>
      </c>
      <c r="K21" s="12" t="s">
        <v>41</v>
      </c>
      <c r="L21" s="20" t="s">
        <v>147</v>
      </c>
      <c r="M21" s="20"/>
      <c r="N21" s="13" t="s">
        <v>152</v>
      </c>
    </row>
    <row r="22" spans="1:14" ht="48" customHeight="1" x14ac:dyDescent="0.3">
      <c r="A22" s="38"/>
      <c r="B22" s="38"/>
      <c r="C22" s="20" t="s">
        <v>153</v>
      </c>
      <c r="D22" s="39" t="s">
        <v>154</v>
      </c>
      <c r="E22" s="39" t="s">
        <v>36</v>
      </c>
      <c r="F22" s="42" t="s">
        <v>155</v>
      </c>
      <c r="G22" s="20">
        <v>1</v>
      </c>
      <c r="H22" s="21" t="s">
        <v>156</v>
      </c>
      <c r="I22" s="21" t="s">
        <v>157</v>
      </c>
      <c r="J22" s="21" t="s">
        <v>158</v>
      </c>
      <c r="K22" s="12" t="s">
        <v>41</v>
      </c>
      <c r="L22" s="20" t="s">
        <v>147</v>
      </c>
      <c r="M22" s="20"/>
      <c r="N22" s="13" t="s">
        <v>159</v>
      </c>
    </row>
    <row r="23" spans="1:14" ht="31.5" customHeight="1" x14ac:dyDescent="0.3">
      <c r="A23" s="38"/>
      <c r="B23" s="38"/>
      <c r="C23" s="20" t="s">
        <v>153</v>
      </c>
      <c r="D23" s="38"/>
      <c r="E23" s="38"/>
      <c r="F23" s="38"/>
      <c r="G23" s="20">
        <v>2</v>
      </c>
      <c r="H23" s="21" t="s">
        <v>160</v>
      </c>
      <c r="I23" s="21" t="s">
        <v>161</v>
      </c>
      <c r="J23" s="21" t="s">
        <v>162</v>
      </c>
      <c r="K23" s="12" t="s">
        <v>41</v>
      </c>
      <c r="L23" s="20" t="s">
        <v>147</v>
      </c>
      <c r="M23" s="20"/>
      <c r="N23" s="13" t="s">
        <v>163</v>
      </c>
    </row>
    <row r="24" spans="1:14" ht="31.5" customHeight="1" x14ac:dyDescent="0.3">
      <c r="A24" s="38"/>
      <c r="B24" s="38"/>
      <c r="C24" s="20" t="s">
        <v>153</v>
      </c>
      <c r="D24" s="35"/>
      <c r="E24" s="35"/>
      <c r="F24" s="35"/>
      <c r="G24" s="20">
        <v>3</v>
      </c>
      <c r="H24" s="21" t="s">
        <v>164</v>
      </c>
      <c r="I24" s="21" t="s">
        <v>150</v>
      </c>
      <c r="J24" s="21" t="s">
        <v>165</v>
      </c>
      <c r="K24" s="12" t="s">
        <v>41</v>
      </c>
      <c r="L24" s="20" t="s">
        <v>147</v>
      </c>
      <c r="M24" s="20"/>
      <c r="N24" s="13" t="s">
        <v>166</v>
      </c>
    </row>
    <row r="25" spans="1:14" ht="31.5" customHeight="1" x14ac:dyDescent="0.3">
      <c r="A25" s="38"/>
      <c r="B25" s="38"/>
      <c r="C25" s="20" t="s">
        <v>167</v>
      </c>
      <c r="D25" s="39" t="s">
        <v>168</v>
      </c>
      <c r="E25" s="39" t="s">
        <v>36</v>
      </c>
      <c r="F25" s="42" t="s">
        <v>169</v>
      </c>
      <c r="G25" s="20">
        <v>1</v>
      </c>
      <c r="H25" s="21" t="s">
        <v>170</v>
      </c>
      <c r="I25" s="21" t="s">
        <v>171</v>
      </c>
      <c r="J25" s="21" t="s">
        <v>172</v>
      </c>
      <c r="K25" s="12" t="s">
        <v>41</v>
      </c>
      <c r="L25" s="20" t="s">
        <v>173</v>
      </c>
      <c r="M25" s="20"/>
      <c r="N25" s="13" t="s">
        <v>174</v>
      </c>
    </row>
    <row r="26" spans="1:14" ht="31.5" customHeight="1" x14ac:dyDescent="0.3">
      <c r="A26" s="38"/>
      <c r="B26" s="38"/>
      <c r="C26" s="20" t="s">
        <v>167</v>
      </c>
      <c r="D26" s="38"/>
      <c r="E26" s="38"/>
      <c r="F26" s="38"/>
      <c r="G26" s="20">
        <v>2</v>
      </c>
      <c r="H26" s="21" t="s">
        <v>175</v>
      </c>
      <c r="I26" s="21" t="s">
        <v>176</v>
      </c>
      <c r="J26" s="21" t="s">
        <v>177</v>
      </c>
      <c r="K26" s="12" t="s">
        <v>41</v>
      </c>
      <c r="L26" s="20" t="s">
        <v>173</v>
      </c>
      <c r="M26" s="20"/>
      <c r="N26" s="13" t="s">
        <v>178</v>
      </c>
    </row>
    <row r="27" spans="1:14" ht="31.5" customHeight="1" x14ac:dyDescent="0.3">
      <c r="A27" s="38"/>
      <c r="B27" s="38"/>
      <c r="C27" s="20" t="s">
        <v>167</v>
      </c>
      <c r="D27" s="35"/>
      <c r="E27" s="35"/>
      <c r="F27" s="35"/>
      <c r="G27" s="20">
        <v>3</v>
      </c>
      <c r="H27" s="21" t="s">
        <v>179</v>
      </c>
      <c r="I27" s="21" t="s">
        <v>180</v>
      </c>
      <c r="J27" s="21" t="s">
        <v>181</v>
      </c>
      <c r="K27" s="12" t="s">
        <v>49</v>
      </c>
      <c r="L27" s="20" t="s">
        <v>173</v>
      </c>
      <c r="M27" s="20" t="s">
        <v>182</v>
      </c>
      <c r="N27" s="13" t="s">
        <v>183</v>
      </c>
    </row>
    <row r="28" spans="1:14" ht="48" customHeight="1" x14ac:dyDescent="0.3">
      <c r="A28" s="38"/>
      <c r="B28" s="38"/>
      <c r="C28" s="20" t="s">
        <v>184</v>
      </c>
      <c r="D28" s="39" t="s">
        <v>185</v>
      </c>
      <c r="E28" s="39" t="s">
        <v>36</v>
      </c>
      <c r="F28" s="42" t="s">
        <v>186</v>
      </c>
      <c r="G28" s="20">
        <v>1</v>
      </c>
      <c r="H28" s="21" t="s">
        <v>187</v>
      </c>
      <c r="I28" s="21" t="s">
        <v>188</v>
      </c>
      <c r="J28" s="21" t="s">
        <v>189</v>
      </c>
      <c r="K28" s="12" t="s">
        <v>41</v>
      </c>
      <c r="L28" s="20" t="s">
        <v>190</v>
      </c>
      <c r="M28" s="20"/>
      <c r="N28" s="13" t="s">
        <v>191</v>
      </c>
    </row>
    <row r="29" spans="1:14" ht="31.5" customHeight="1" x14ac:dyDescent="0.3">
      <c r="A29" s="38"/>
      <c r="B29" s="38"/>
      <c r="C29" s="20" t="s">
        <v>184</v>
      </c>
      <c r="D29" s="35"/>
      <c r="E29" s="35"/>
      <c r="F29" s="35"/>
      <c r="G29" s="20">
        <v>2</v>
      </c>
      <c r="H29" s="21" t="s">
        <v>192</v>
      </c>
      <c r="I29" s="21" t="s">
        <v>193</v>
      </c>
      <c r="J29" s="21" t="s">
        <v>194</v>
      </c>
      <c r="K29" s="12" t="s">
        <v>41</v>
      </c>
      <c r="L29" s="20" t="s">
        <v>190</v>
      </c>
      <c r="M29" s="20"/>
      <c r="N29" s="13" t="s">
        <v>195</v>
      </c>
    </row>
    <row r="30" spans="1:14" ht="31.5" customHeight="1" x14ac:dyDescent="0.3">
      <c r="A30" s="38"/>
      <c r="B30" s="38"/>
      <c r="C30" s="20" t="s">
        <v>196</v>
      </c>
      <c r="D30" s="39" t="s">
        <v>197</v>
      </c>
      <c r="E30" s="39" t="s">
        <v>36</v>
      </c>
      <c r="F30" s="42" t="s">
        <v>198</v>
      </c>
      <c r="G30" s="20">
        <v>1</v>
      </c>
      <c r="H30" s="21" t="s">
        <v>199</v>
      </c>
      <c r="I30" s="21" t="s">
        <v>200</v>
      </c>
      <c r="J30" s="21" t="s">
        <v>201</v>
      </c>
      <c r="K30" s="12" t="s">
        <v>41</v>
      </c>
      <c r="L30" s="20" t="s">
        <v>190</v>
      </c>
      <c r="M30" s="20"/>
      <c r="N30" s="13" t="s">
        <v>202</v>
      </c>
    </row>
    <row r="31" spans="1:14" ht="31.5" customHeight="1" x14ac:dyDescent="0.3">
      <c r="A31" s="38"/>
      <c r="B31" s="38"/>
      <c r="C31" s="20" t="s">
        <v>196</v>
      </c>
      <c r="D31" s="35"/>
      <c r="E31" s="35"/>
      <c r="F31" s="35"/>
      <c r="G31" s="20">
        <v>2</v>
      </c>
      <c r="H31" s="21" t="s">
        <v>203</v>
      </c>
      <c r="I31" s="21" t="s">
        <v>204</v>
      </c>
      <c r="J31" s="21" t="s">
        <v>205</v>
      </c>
      <c r="K31" s="12" t="s">
        <v>41</v>
      </c>
      <c r="L31" s="20" t="s">
        <v>190</v>
      </c>
      <c r="M31" s="20"/>
      <c r="N31" s="13" t="s">
        <v>206</v>
      </c>
    </row>
    <row r="32" spans="1:14" ht="31.5" customHeight="1" x14ac:dyDescent="0.3">
      <c r="A32" s="38"/>
      <c r="B32" s="38"/>
      <c r="C32" s="20" t="s">
        <v>207</v>
      </c>
      <c r="D32" s="39" t="s">
        <v>208</v>
      </c>
      <c r="E32" s="39" t="s">
        <v>36</v>
      </c>
      <c r="F32" s="42" t="s">
        <v>186</v>
      </c>
      <c r="G32" s="20">
        <v>1</v>
      </c>
      <c r="H32" s="21" t="s">
        <v>209</v>
      </c>
      <c r="I32" s="21" t="s">
        <v>210</v>
      </c>
      <c r="J32" s="21" t="s">
        <v>211</v>
      </c>
      <c r="K32" s="12" t="s">
        <v>41</v>
      </c>
      <c r="L32" s="20" t="s">
        <v>212</v>
      </c>
      <c r="M32" s="20"/>
      <c r="N32" s="13" t="s">
        <v>213</v>
      </c>
    </row>
    <row r="33" spans="1:14" ht="31.5" customHeight="1" x14ac:dyDescent="0.3">
      <c r="A33" s="38"/>
      <c r="B33" s="38"/>
      <c r="C33" s="20" t="s">
        <v>207</v>
      </c>
      <c r="D33" s="35"/>
      <c r="E33" s="35"/>
      <c r="F33" s="35"/>
      <c r="G33" s="20">
        <v>2</v>
      </c>
      <c r="H33" s="21" t="s">
        <v>214</v>
      </c>
      <c r="I33" s="21" t="s">
        <v>215</v>
      </c>
      <c r="J33" s="21" t="s">
        <v>216</v>
      </c>
      <c r="K33" s="12" t="s">
        <v>55</v>
      </c>
      <c r="L33" s="20" t="s">
        <v>212</v>
      </c>
      <c r="M33" s="20"/>
      <c r="N33" s="13" t="s">
        <v>217</v>
      </c>
    </row>
    <row r="34" spans="1:14" ht="31.5" customHeight="1" x14ac:dyDescent="0.3">
      <c r="A34" s="38"/>
      <c r="B34" s="38"/>
      <c r="C34" s="20" t="s">
        <v>218</v>
      </c>
      <c r="D34" s="39" t="s">
        <v>219</v>
      </c>
      <c r="E34" s="39" t="s">
        <v>36</v>
      </c>
      <c r="F34" s="42" t="s">
        <v>220</v>
      </c>
      <c r="G34" s="20">
        <v>1</v>
      </c>
      <c r="H34" s="21" t="s">
        <v>221</v>
      </c>
      <c r="I34" s="21" t="s">
        <v>222</v>
      </c>
      <c r="J34" s="21" t="s">
        <v>223</v>
      </c>
      <c r="K34" s="12" t="s">
        <v>41</v>
      </c>
      <c r="L34" s="20" t="s">
        <v>212</v>
      </c>
      <c r="M34" s="20"/>
      <c r="N34" s="13" t="s">
        <v>224</v>
      </c>
    </row>
    <row r="35" spans="1:14" ht="31.5" customHeight="1" x14ac:dyDescent="0.3">
      <c r="A35" s="38"/>
      <c r="B35" s="35"/>
      <c r="C35" s="20" t="s">
        <v>218</v>
      </c>
      <c r="D35" s="35"/>
      <c r="E35" s="35"/>
      <c r="F35" s="35"/>
      <c r="G35" s="20">
        <v>2</v>
      </c>
      <c r="H35" s="21" t="s">
        <v>225</v>
      </c>
      <c r="I35" s="21" t="s">
        <v>226</v>
      </c>
      <c r="J35" s="21" t="s">
        <v>227</v>
      </c>
      <c r="K35" s="12" t="s">
        <v>41</v>
      </c>
      <c r="L35" s="20" t="s">
        <v>212</v>
      </c>
      <c r="M35" s="20"/>
      <c r="N35" s="13" t="s">
        <v>228</v>
      </c>
    </row>
    <row r="36" spans="1:14" ht="48" customHeight="1" x14ac:dyDescent="0.3">
      <c r="A36" s="38"/>
      <c r="B36" s="50" t="s">
        <v>229</v>
      </c>
      <c r="C36" s="22" t="s">
        <v>230</v>
      </c>
      <c r="D36" s="40" t="s">
        <v>231</v>
      </c>
      <c r="E36" s="40" t="s">
        <v>36</v>
      </c>
      <c r="F36" s="45" t="s">
        <v>232</v>
      </c>
      <c r="G36" s="22">
        <v>1</v>
      </c>
      <c r="H36" s="23" t="s">
        <v>233</v>
      </c>
      <c r="I36" s="23" t="s">
        <v>234</v>
      </c>
      <c r="J36" s="23" t="s">
        <v>235</v>
      </c>
      <c r="K36" s="12" t="s">
        <v>41</v>
      </c>
      <c r="L36" s="22" t="s">
        <v>236</v>
      </c>
      <c r="M36" s="22"/>
      <c r="N36" s="13" t="s">
        <v>237</v>
      </c>
    </row>
    <row r="37" spans="1:14" ht="31.5" customHeight="1" x14ac:dyDescent="0.3">
      <c r="A37" s="38"/>
      <c r="B37" s="38"/>
      <c r="C37" s="22" t="s">
        <v>230</v>
      </c>
      <c r="D37" s="35"/>
      <c r="E37" s="35"/>
      <c r="F37" s="35"/>
      <c r="G37" s="22">
        <v>2</v>
      </c>
      <c r="H37" s="23" t="s">
        <v>238</v>
      </c>
      <c r="I37" s="23" t="s">
        <v>239</v>
      </c>
      <c r="J37" s="23" t="s">
        <v>240</v>
      </c>
      <c r="K37" s="12" t="s">
        <v>41</v>
      </c>
      <c r="L37" s="22" t="s">
        <v>236</v>
      </c>
      <c r="M37" s="22"/>
      <c r="N37" s="13" t="s">
        <v>241</v>
      </c>
    </row>
    <row r="38" spans="1:14" ht="31.5" customHeight="1" x14ac:dyDescent="0.3">
      <c r="A38" s="38"/>
      <c r="B38" s="38"/>
      <c r="C38" s="22" t="s">
        <v>242</v>
      </c>
      <c r="D38" s="40" t="s">
        <v>243</v>
      </c>
      <c r="E38" s="40" t="s">
        <v>36</v>
      </c>
      <c r="F38" s="45" t="s">
        <v>244</v>
      </c>
      <c r="G38" s="22">
        <v>1</v>
      </c>
      <c r="H38" s="23" t="s">
        <v>245</v>
      </c>
      <c r="I38" s="23" t="s">
        <v>246</v>
      </c>
      <c r="J38" s="23" t="s">
        <v>247</v>
      </c>
      <c r="K38" s="12" t="s">
        <v>49</v>
      </c>
      <c r="L38" s="22" t="s">
        <v>248</v>
      </c>
      <c r="M38" s="22" t="s">
        <v>249</v>
      </c>
      <c r="N38" s="13" t="s">
        <v>250</v>
      </c>
    </row>
    <row r="39" spans="1:14" ht="31.5" customHeight="1" x14ac:dyDescent="0.3">
      <c r="A39" s="38"/>
      <c r="B39" s="38"/>
      <c r="C39" s="22" t="s">
        <v>242</v>
      </c>
      <c r="D39" s="35"/>
      <c r="E39" s="35"/>
      <c r="F39" s="35"/>
      <c r="G39" s="22">
        <v>2</v>
      </c>
      <c r="H39" s="23" t="s">
        <v>251</v>
      </c>
      <c r="I39" s="23" t="s">
        <v>252</v>
      </c>
      <c r="J39" s="23" t="s">
        <v>253</v>
      </c>
      <c r="K39" s="12" t="s">
        <v>41</v>
      </c>
      <c r="L39" s="22" t="s">
        <v>248</v>
      </c>
      <c r="M39" s="22"/>
      <c r="N39" s="13" t="s">
        <v>254</v>
      </c>
    </row>
    <row r="40" spans="1:14" ht="31.5" customHeight="1" x14ac:dyDescent="0.3">
      <c r="A40" s="38"/>
      <c r="B40" s="38"/>
      <c r="C40" s="22" t="s">
        <v>255</v>
      </c>
      <c r="D40" s="40" t="s">
        <v>256</v>
      </c>
      <c r="E40" s="40" t="s">
        <v>36</v>
      </c>
      <c r="F40" s="45" t="s">
        <v>257</v>
      </c>
      <c r="G40" s="22">
        <v>1</v>
      </c>
      <c r="H40" s="23" t="s">
        <v>258</v>
      </c>
      <c r="I40" s="23" t="s">
        <v>259</v>
      </c>
      <c r="J40" s="23" t="s">
        <v>260</v>
      </c>
      <c r="K40" s="12" t="s">
        <v>41</v>
      </c>
      <c r="L40" s="22" t="s">
        <v>248</v>
      </c>
      <c r="M40" s="22"/>
      <c r="N40" s="13" t="s">
        <v>261</v>
      </c>
    </row>
    <row r="41" spans="1:14" ht="31.5" customHeight="1" x14ac:dyDescent="0.3">
      <c r="A41" s="38"/>
      <c r="B41" s="38"/>
      <c r="C41" s="22" t="s">
        <v>255</v>
      </c>
      <c r="D41" s="35"/>
      <c r="E41" s="35"/>
      <c r="F41" s="35"/>
      <c r="G41" s="22">
        <v>2</v>
      </c>
      <c r="H41" s="23" t="s">
        <v>262</v>
      </c>
      <c r="I41" s="23" t="s">
        <v>263</v>
      </c>
      <c r="J41" s="23" t="s">
        <v>264</v>
      </c>
      <c r="K41" s="12" t="s">
        <v>41</v>
      </c>
      <c r="L41" s="22" t="s">
        <v>248</v>
      </c>
      <c r="M41" s="22"/>
      <c r="N41" s="13" t="s">
        <v>60</v>
      </c>
    </row>
    <row r="42" spans="1:14" ht="31.5" customHeight="1" x14ac:dyDescent="0.3">
      <c r="A42" s="38"/>
      <c r="B42" s="38"/>
      <c r="C42" s="22" t="s">
        <v>265</v>
      </c>
      <c r="D42" s="40" t="s">
        <v>266</v>
      </c>
      <c r="E42" s="40" t="s">
        <v>36</v>
      </c>
      <c r="F42" s="45" t="s">
        <v>267</v>
      </c>
      <c r="G42" s="22">
        <v>1</v>
      </c>
      <c r="H42" s="23" t="s">
        <v>268</v>
      </c>
      <c r="I42" s="23" t="s">
        <v>269</v>
      </c>
      <c r="J42" s="23" t="s">
        <v>270</v>
      </c>
      <c r="K42" s="12" t="s">
        <v>41</v>
      </c>
      <c r="L42" s="22" t="s">
        <v>248</v>
      </c>
      <c r="M42" s="22"/>
      <c r="N42" s="13" t="s">
        <v>241</v>
      </c>
    </row>
    <row r="43" spans="1:14" ht="31.5" customHeight="1" x14ac:dyDescent="0.3">
      <c r="A43" s="38"/>
      <c r="B43" s="35"/>
      <c r="C43" s="22" t="s">
        <v>265</v>
      </c>
      <c r="D43" s="35"/>
      <c r="E43" s="35"/>
      <c r="F43" s="35"/>
      <c r="G43" s="22">
        <v>2</v>
      </c>
      <c r="H43" s="23" t="s">
        <v>271</v>
      </c>
      <c r="I43" s="23" t="s">
        <v>272</v>
      </c>
      <c r="J43" s="23" t="s">
        <v>273</v>
      </c>
      <c r="K43" s="12" t="s">
        <v>41</v>
      </c>
      <c r="L43" s="22" t="s">
        <v>248</v>
      </c>
      <c r="M43" s="22"/>
      <c r="N43" s="13" t="s">
        <v>274</v>
      </c>
    </row>
    <row r="44" spans="1:14" ht="48" customHeight="1" x14ac:dyDescent="0.3">
      <c r="A44" s="38"/>
      <c r="B44" s="51" t="s">
        <v>275</v>
      </c>
      <c r="C44" s="24" t="s">
        <v>276</v>
      </c>
      <c r="D44" s="49" t="s">
        <v>277</v>
      </c>
      <c r="E44" s="49" t="s">
        <v>36</v>
      </c>
      <c r="F44" s="34" t="s">
        <v>278</v>
      </c>
      <c r="G44" s="24">
        <v>1</v>
      </c>
      <c r="H44" s="25" t="s">
        <v>279</v>
      </c>
      <c r="I44" s="25" t="s">
        <v>280</v>
      </c>
      <c r="J44" s="25" t="s">
        <v>281</v>
      </c>
      <c r="K44" s="12" t="s">
        <v>41</v>
      </c>
      <c r="L44" s="24" t="s">
        <v>282</v>
      </c>
      <c r="M44" s="24"/>
      <c r="N44" s="13" t="s">
        <v>283</v>
      </c>
    </row>
    <row r="45" spans="1:14" ht="48" customHeight="1" x14ac:dyDescent="0.3">
      <c r="A45" s="38"/>
      <c r="B45" s="38"/>
      <c r="C45" s="24" t="s">
        <v>276</v>
      </c>
      <c r="D45" s="35"/>
      <c r="E45" s="35"/>
      <c r="F45" s="35"/>
      <c r="G45" s="24">
        <v>2</v>
      </c>
      <c r="H45" s="25" t="s">
        <v>284</v>
      </c>
      <c r="I45" s="25" t="s">
        <v>285</v>
      </c>
      <c r="J45" s="25" t="s">
        <v>286</v>
      </c>
      <c r="K45" s="12" t="s">
        <v>41</v>
      </c>
      <c r="L45" s="24" t="s">
        <v>282</v>
      </c>
      <c r="M45" s="24"/>
      <c r="N45" s="13" t="s">
        <v>287</v>
      </c>
    </row>
    <row r="46" spans="1:14" ht="31.5" customHeight="1" x14ac:dyDescent="0.3">
      <c r="A46" s="38"/>
      <c r="B46" s="38"/>
      <c r="C46" s="24" t="s">
        <v>288</v>
      </c>
      <c r="D46" s="49" t="s">
        <v>289</v>
      </c>
      <c r="E46" s="49" t="s">
        <v>69</v>
      </c>
      <c r="F46" s="34" t="s">
        <v>290</v>
      </c>
      <c r="G46" s="24">
        <v>1</v>
      </c>
      <c r="H46" s="25" t="s">
        <v>291</v>
      </c>
      <c r="I46" s="25" t="s">
        <v>292</v>
      </c>
      <c r="J46" s="25" t="s">
        <v>293</v>
      </c>
      <c r="K46" s="12" t="s">
        <v>41</v>
      </c>
      <c r="L46" s="24" t="s">
        <v>282</v>
      </c>
      <c r="M46" s="24"/>
      <c r="N46" s="13" t="s">
        <v>294</v>
      </c>
    </row>
    <row r="47" spans="1:14" ht="31.5" customHeight="1" x14ac:dyDescent="0.3">
      <c r="A47" s="38"/>
      <c r="B47" s="38"/>
      <c r="C47" s="24" t="s">
        <v>288</v>
      </c>
      <c r="D47" s="35"/>
      <c r="E47" s="35"/>
      <c r="F47" s="35"/>
      <c r="G47" s="24">
        <v>2</v>
      </c>
      <c r="H47" s="25" t="s">
        <v>295</v>
      </c>
      <c r="I47" s="25" t="s">
        <v>296</v>
      </c>
      <c r="J47" s="25" t="s">
        <v>297</v>
      </c>
      <c r="K47" s="12" t="s">
        <v>41</v>
      </c>
      <c r="L47" s="24" t="s">
        <v>282</v>
      </c>
      <c r="M47" s="24"/>
      <c r="N47" s="13" t="s">
        <v>298</v>
      </c>
    </row>
    <row r="48" spans="1:14" ht="31.5" customHeight="1" x14ac:dyDescent="0.3">
      <c r="A48" s="38"/>
      <c r="B48" s="38"/>
      <c r="C48" s="24" t="s">
        <v>299</v>
      </c>
      <c r="D48" s="49" t="s">
        <v>300</v>
      </c>
      <c r="E48" s="49" t="s">
        <v>36</v>
      </c>
      <c r="F48" s="34" t="s">
        <v>301</v>
      </c>
      <c r="G48" s="24">
        <v>1</v>
      </c>
      <c r="H48" s="25" t="s">
        <v>302</v>
      </c>
      <c r="I48" s="25" t="s">
        <v>303</v>
      </c>
      <c r="J48" s="25" t="s">
        <v>304</v>
      </c>
      <c r="K48" s="12" t="s">
        <v>41</v>
      </c>
      <c r="L48" s="24" t="s">
        <v>282</v>
      </c>
      <c r="M48" s="24"/>
      <c r="N48" s="13" t="s">
        <v>305</v>
      </c>
    </row>
    <row r="49" spans="1:14" ht="31.5" customHeight="1" x14ac:dyDescent="0.3">
      <c r="A49" s="38"/>
      <c r="B49" s="38"/>
      <c r="C49" s="24" t="s">
        <v>299</v>
      </c>
      <c r="D49" s="38"/>
      <c r="E49" s="38"/>
      <c r="F49" s="38"/>
      <c r="G49" s="24">
        <v>2</v>
      </c>
      <c r="H49" s="25" t="s">
        <v>306</v>
      </c>
      <c r="I49" s="25" t="s">
        <v>307</v>
      </c>
      <c r="J49" s="25" t="s">
        <v>308</v>
      </c>
      <c r="K49" s="12" t="s">
        <v>41</v>
      </c>
      <c r="L49" s="24" t="s">
        <v>282</v>
      </c>
      <c r="M49" s="24"/>
      <c r="N49" s="13" t="s">
        <v>60</v>
      </c>
    </row>
    <row r="50" spans="1:14" ht="31.5" customHeight="1" x14ac:dyDescent="0.3">
      <c r="A50" s="38"/>
      <c r="B50" s="38"/>
      <c r="C50" s="24" t="s">
        <v>299</v>
      </c>
      <c r="D50" s="35"/>
      <c r="E50" s="35"/>
      <c r="F50" s="35"/>
      <c r="G50" s="24">
        <v>3</v>
      </c>
      <c r="H50" s="25" t="s">
        <v>309</v>
      </c>
      <c r="I50" s="25" t="s">
        <v>310</v>
      </c>
      <c r="J50" s="25" t="s">
        <v>311</v>
      </c>
      <c r="K50" s="12" t="s">
        <v>41</v>
      </c>
      <c r="L50" s="24" t="s">
        <v>282</v>
      </c>
      <c r="M50" s="24"/>
      <c r="N50" s="13" t="s">
        <v>312</v>
      </c>
    </row>
    <row r="51" spans="1:14" ht="48" customHeight="1" x14ac:dyDescent="0.3">
      <c r="A51" s="38"/>
      <c r="B51" s="38"/>
      <c r="C51" s="24" t="s">
        <v>313</v>
      </c>
      <c r="D51" s="49" t="s">
        <v>314</v>
      </c>
      <c r="E51" s="49" t="s">
        <v>36</v>
      </c>
      <c r="F51" s="34" t="s">
        <v>315</v>
      </c>
      <c r="G51" s="24">
        <v>1</v>
      </c>
      <c r="H51" s="25" t="s">
        <v>316</v>
      </c>
      <c r="I51" s="25" t="s">
        <v>317</v>
      </c>
      <c r="J51" s="25" t="s">
        <v>318</v>
      </c>
      <c r="K51" s="12" t="s">
        <v>41</v>
      </c>
      <c r="L51" s="24" t="s">
        <v>282</v>
      </c>
      <c r="M51" s="24"/>
      <c r="N51" s="13" t="s">
        <v>60</v>
      </c>
    </row>
    <row r="52" spans="1:14" ht="48" customHeight="1" x14ac:dyDescent="0.3">
      <c r="A52" s="38"/>
      <c r="B52" s="35"/>
      <c r="C52" s="24" t="s">
        <v>313</v>
      </c>
      <c r="D52" s="35"/>
      <c r="E52" s="35"/>
      <c r="F52" s="35"/>
      <c r="G52" s="24">
        <v>2</v>
      </c>
      <c r="H52" s="25" t="s">
        <v>319</v>
      </c>
      <c r="I52" s="25" t="s">
        <v>320</v>
      </c>
      <c r="J52" s="25" t="s">
        <v>321</v>
      </c>
      <c r="K52" s="12" t="s">
        <v>41</v>
      </c>
      <c r="L52" s="24" t="s">
        <v>282</v>
      </c>
      <c r="M52" s="24"/>
      <c r="N52" s="13" t="s">
        <v>322</v>
      </c>
    </row>
    <row r="53" spans="1:14" ht="31.5" customHeight="1" x14ac:dyDescent="0.3">
      <c r="A53" s="38"/>
      <c r="B53" s="52" t="s">
        <v>323</v>
      </c>
      <c r="C53" s="26" t="s">
        <v>324</v>
      </c>
      <c r="D53" s="46" t="s">
        <v>325</v>
      </c>
      <c r="E53" s="46" t="s">
        <v>36</v>
      </c>
      <c r="F53" s="36" t="s">
        <v>326</v>
      </c>
      <c r="G53" s="26">
        <v>1</v>
      </c>
      <c r="H53" s="27" t="s">
        <v>327</v>
      </c>
      <c r="I53" s="27" t="s">
        <v>328</v>
      </c>
      <c r="J53" s="27" t="s">
        <v>329</v>
      </c>
      <c r="K53" s="12" t="s">
        <v>41</v>
      </c>
      <c r="L53" s="26" t="s">
        <v>330</v>
      </c>
      <c r="M53" s="26"/>
      <c r="N53" s="13" t="s">
        <v>331</v>
      </c>
    </row>
    <row r="54" spans="1:14" ht="31.5" customHeight="1" x14ac:dyDescent="0.3">
      <c r="A54" s="38"/>
      <c r="B54" s="38"/>
      <c r="C54" s="26" t="s">
        <v>324</v>
      </c>
      <c r="D54" s="35"/>
      <c r="E54" s="35"/>
      <c r="F54" s="35"/>
      <c r="G54" s="26">
        <v>2</v>
      </c>
      <c r="H54" s="27" t="s">
        <v>332</v>
      </c>
      <c r="I54" s="27" t="s">
        <v>333</v>
      </c>
      <c r="J54" s="27" t="s">
        <v>334</v>
      </c>
      <c r="K54" s="12" t="s">
        <v>41</v>
      </c>
      <c r="L54" s="26" t="s">
        <v>330</v>
      </c>
      <c r="M54" s="26"/>
      <c r="N54" s="13" t="s">
        <v>335</v>
      </c>
    </row>
    <row r="55" spans="1:14" ht="48" customHeight="1" x14ac:dyDescent="0.3">
      <c r="A55" s="38"/>
      <c r="B55" s="38"/>
      <c r="C55" s="26" t="s">
        <v>336</v>
      </c>
      <c r="D55" s="46" t="s">
        <v>337</v>
      </c>
      <c r="E55" s="46" t="s">
        <v>36</v>
      </c>
      <c r="F55" s="36" t="s">
        <v>338</v>
      </c>
      <c r="G55" s="26">
        <v>1</v>
      </c>
      <c r="H55" s="27" t="s">
        <v>339</v>
      </c>
      <c r="I55" s="27" t="s">
        <v>340</v>
      </c>
      <c r="J55" s="27" t="s">
        <v>341</v>
      </c>
      <c r="K55" s="12" t="s">
        <v>41</v>
      </c>
      <c r="L55" s="26" t="s">
        <v>330</v>
      </c>
      <c r="M55" s="26"/>
      <c r="N55" s="13" t="s">
        <v>342</v>
      </c>
    </row>
    <row r="56" spans="1:14" ht="31.5" customHeight="1" x14ac:dyDescent="0.3">
      <c r="A56" s="38"/>
      <c r="B56" s="38"/>
      <c r="C56" s="26" t="s">
        <v>336</v>
      </c>
      <c r="D56" s="35"/>
      <c r="E56" s="35"/>
      <c r="F56" s="35"/>
      <c r="G56" s="26">
        <v>2</v>
      </c>
      <c r="H56" s="27" t="s">
        <v>343</v>
      </c>
      <c r="I56" s="27" t="s">
        <v>344</v>
      </c>
      <c r="J56" s="27" t="s">
        <v>345</v>
      </c>
      <c r="K56" s="12" t="s">
        <v>41</v>
      </c>
      <c r="L56" s="26" t="s">
        <v>330</v>
      </c>
      <c r="M56" s="26"/>
      <c r="N56" s="13" t="s">
        <v>346</v>
      </c>
    </row>
    <row r="57" spans="1:14" ht="31.5" customHeight="1" x14ac:dyDescent="0.3">
      <c r="A57" s="38"/>
      <c r="B57" s="38"/>
      <c r="C57" s="26" t="s">
        <v>347</v>
      </c>
      <c r="D57" s="46" t="s">
        <v>348</v>
      </c>
      <c r="E57" s="46" t="s">
        <v>36</v>
      </c>
      <c r="F57" s="36" t="s">
        <v>349</v>
      </c>
      <c r="G57" s="26">
        <v>1</v>
      </c>
      <c r="H57" s="27" t="s">
        <v>350</v>
      </c>
      <c r="I57" s="27" t="s">
        <v>351</v>
      </c>
      <c r="J57" s="27" t="s">
        <v>352</v>
      </c>
      <c r="K57" s="12" t="s">
        <v>41</v>
      </c>
      <c r="L57" s="26" t="s">
        <v>330</v>
      </c>
      <c r="M57" s="26"/>
      <c r="N57" s="13" t="s">
        <v>353</v>
      </c>
    </row>
    <row r="58" spans="1:14" ht="31.5" customHeight="1" x14ac:dyDescent="0.3">
      <c r="A58" s="38"/>
      <c r="B58" s="38"/>
      <c r="C58" s="26" t="s">
        <v>347</v>
      </c>
      <c r="D58" s="38"/>
      <c r="E58" s="38"/>
      <c r="F58" s="38"/>
      <c r="G58" s="26">
        <v>2</v>
      </c>
      <c r="H58" s="27" t="s">
        <v>354</v>
      </c>
      <c r="I58" s="27" t="s">
        <v>355</v>
      </c>
      <c r="J58" s="27" t="s">
        <v>356</v>
      </c>
      <c r="K58" s="12" t="s">
        <v>41</v>
      </c>
      <c r="L58" s="26" t="s">
        <v>330</v>
      </c>
      <c r="M58" s="26"/>
      <c r="N58" s="13" t="s">
        <v>357</v>
      </c>
    </row>
    <row r="59" spans="1:14" ht="31.5" customHeight="1" x14ac:dyDescent="0.3">
      <c r="A59" s="38"/>
      <c r="B59" s="38"/>
      <c r="C59" s="26" t="s">
        <v>347</v>
      </c>
      <c r="D59" s="38"/>
      <c r="E59" s="38"/>
      <c r="F59" s="38"/>
      <c r="G59" s="26">
        <v>3</v>
      </c>
      <c r="H59" s="27" t="s">
        <v>358</v>
      </c>
      <c r="I59" s="27" t="s">
        <v>359</v>
      </c>
      <c r="J59" s="27" t="s">
        <v>360</v>
      </c>
      <c r="K59" s="12" t="s">
        <v>41</v>
      </c>
      <c r="L59" s="26" t="s">
        <v>330</v>
      </c>
      <c r="M59" s="26"/>
      <c r="N59" s="13" t="s">
        <v>361</v>
      </c>
    </row>
    <row r="60" spans="1:14" ht="31.5" customHeight="1" x14ac:dyDescent="0.3">
      <c r="A60" s="38"/>
      <c r="B60" s="38"/>
      <c r="C60" s="26" t="s">
        <v>347</v>
      </c>
      <c r="D60" s="35"/>
      <c r="E60" s="35"/>
      <c r="F60" s="35"/>
      <c r="G60" s="26">
        <v>4</v>
      </c>
      <c r="H60" s="27" t="s">
        <v>362</v>
      </c>
      <c r="I60" s="27" t="s">
        <v>363</v>
      </c>
      <c r="J60" s="27" t="s">
        <v>364</v>
      </c>
      <c r="K60" s="12" t="s">
        <v>41</v>
      </c>
      <c r="L60" s="26" t="s">
        <v>330</v>
      </c>
      <c r="M60" s="26"/>
      <c r="N60" s="13" t="s">
        <v>60</v>
      </c>
    </row>
    <row r="61" spans="1:14" ht="31.5" customHeight="1" x14ac:dyDescent="0.3">
      <c r="A61" s="35"/>
      <c r="B61" s="35"/>
      <c r="C61" s="26" t="s">
        <v>365</v>
      </c>
      <c r="D61" s="26" t="s">
        <v>366</v>
      </c>
      <c r="E61" s="26" t="s">
        <v>36</v>
      </c>
      <c r="F61" s="27" t="s">
        <v>367</v>
      </c>
      <c r="G61" s="26">
        <v>1</v>
      </c>
      <c r="H61" s="27" t="s">
        <v>368</v>
      </c>
      <c r="I61" s="27" t="s">
        <v>369</v>
      </c>
      <c r="J61" s="27" t="s">
        <v>370</v>
      </c>
      <c r="K61" s="12" t="s">
        <v>41</v>
      </c>
      <c r="L61" s="26" t="s">
        <v>330</v>
      </c>
      <c r="M61" s="26"/>
      <c r="N61" s="13" t="s">
        <v>371</v>
      </c>
    </row>
    <row r="62" spans="1:14" ht="15" customHeight="1" x14ac:dyDescent="0.3"/>
    <row r="63" spans="1:14" ht="15" customHeight="1" x14ac:dyDescent="0.3"/>
    <row r="64" spans="1:1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  <row r="203" ht="15" customHeight="1" x14ac:dyDescent="0.3"/>
    <row r="204" ht="15" customHeight="1" x14ac:dyDescent="0.3"/>
    <row r="205" ht="15" customHeight="1" x14ac:dyDescent="0.3"/>
    <row r="206" ht="15" customHeight="1" x14ac:dyDescent="0.3"/>
    <row r="207" ht="15" customHeight="1" x14ac:dyDescent="0.3"/>
    <row r="208" ht="15" customHeight="1" x14ac:dyDescent="0.3"/>
    <row r="209" ht="15" customHeight="1" x14ac:dyDescent="0.3"/>
    <row r="210" ht="15" customHeight="1" x14ac:dyDescent="0.3"/>
    <row r="211" ht="15" customHeight="1" x14ac:dyDescent="0.3"/>
    <row r="212" ht="15" customHeight="1" x14ac:dyDescent="0.3"/>
    <row r="213" ht="15" customHeight="1" x14ac:dyDescent="0.3"/>
    <row r="214" ht="15" customHeight="1" x14ac:dyDescent="0.3"/>
    <row r="215" ht="15" customHeight="1" x14ac:dyDescent="0.3"/>
    <row r="216" ht="15" customHeight="1" x14ac:dyDescent="0.3"/>
    <row r="217" ht="15" customHeight="1" x14ac:dyDescent="0.3"/>
    <row r="218" ht="15" customHeight="1" x14ac:dyDescent="0.3"/>
    <row r="219" ht="15" customHeight="1" x14ac:dyDescent="0.3"/>
    <row r="220" ht="15" customHeight="1" x14ac:dyDescent="0.3"/>
    <row r="221" ht="15" customHeight="1" x14ac:dyDescent="0.3"/>
    <row r="222" ht="15" customHeight="1" x14ac:dyDescent="0.3"/>
    <row r="223" ht="15" customHeight="1" x14ac:dyDescent="0.3"/>
    <row r="224" ht="15" customHeight="1" x14ac:dyDescent="0.3"/>
    <row r="225" ht="15" customHeight="1" x14ac:dyDescent="0.3"/>
    <row r="226" ht="15" customHeight="1" x14ac:dyDescent="0.3"/>
    <row r="227" ht="15" customHeight="1" x14ac:dyDescent="0.3"/>
    <row r="228" ht="15" customHeight="1" x14ac:dyDescent="0.3"/>
    <row r="229" ht="15" customHeight="1" x14ac:dyDescent="0.3"/>
    <row r="230" ht="15" customHeight="1" x14ac:dyDescent="0.3"/>
    <row r="231" ht="15" customHeight="1" x14ac:dyDescent="0.3"/>
    <row r="232" ht="15" customHeight="1" x14ac:dyDescent="0.3"/>
    <row r="233" ht="15" customHeight="1" x14ac:dyDescent="0.3"/>
    <row r="234" ht="15" customHeight="1" x14ac:dyDescent="0.3"/>
    <row r="235" ht="15" customHeight="1" x14ac:dyDescent="0.3"/>
    <row r="236" ht="15" customHeight="1" x14ac:dyDescent="0.3"/>
    <row r="237" ht="15" customHeight="1" x14ac:dyDescent="0.3"/>
    <row r="238" ht="15" customHeight="1" x14ac:dyDescent="0.3"/>
    <row r="239" ht="15" customHeight="1" x14ac:dyDescent="0.3"/>
    <row r="240" ht="15" customHeight="1" x14ac:dyDescent="0.3"/>
    <row r="241" ht="15" customHeight="1" x14ac:dyDescent="0.3"/>
    <row r="242" ht="15" customHeight="1" x14ac:dyDescent="0.3"/>
    <row r="243" ht="15" customHeight="1" x14ac:dyDescent="0.3"/>
    <row r="244" ht="15" customHeight="1" x14ac:dyDescent="0.3"/>
    <row r="245" ht="15" customHeight="1" x14ac:dyDescent="0.3"/>
    <row r="246" ht="15" customHeight="1" x14ac:dyDescent="0.3"/>
    <row r="247" ht="15" customHeight="1" x14ac:dyDescent="0.3"/>
    <row r="248" ht="15" customHeight="1" x14ac:dyDescent="0.3"/>
    <row r="249" ht="15" customHeight="1" x14ac:dyDescent="0.3"/>
    <row r="250" ht="15" customHeight="1" x14ac:dyDescent="0.3"/>
    <row r="251" ht="15" customHeight="1" x14ac:dyDescent="0.3"/>
    <row r="252" ht="15" customHeight="1" x14ac:dyDescent="0.3"/>
    <row r="253" ht="15" customHeight="1" x14ac:dyDescent="0.3"/>
    <row r="254" ht="15" customHeight="1" x14ac:dyDescent="0.3"/>
    <row r="255" ht="15" customHeight="1" x14ac:dyDescent="0.3"/>
    <row r="256" ht="15" customHeight="1" x14ac:dyDescent="0.3"/>
    <row r="257" ht="15" customHeight="1" x14ac:dyDescent="0.3"/>
    <row r="258" ht="15" customHeight="1" x14ac:dyDescent="0.3"/>
    <row r="259" ht="15" customHeight="1" x14ac:dyDescent="0.3"/>
    <row r="260" ht="15" customHeight="1" x14ac:dyDescent="0.3"/>
    <row r="261" ht="15" customHeight="1" x14ac:dyDescent="0.3"/>
    <row r="262" ht="15" customHeight="1" x14ac:dyDescent="0.3"/>
    <row r="263" ht="15" customHeight="1" x14ac:dyDescent="0.3"/>
    <row r="264" ht="15" customHeight="1" x14ac:dyDescent="0.3"/>
    <row r="265" ht="15" customHeight="1" x14ac:dyDescent="0.3"/>
    <row r="266" ht="15" customHeight="1" x14ac:dyDescent="0.3"/>
    <row r="267" ht="15" customHeight="1" x14ac:dyDescent="0.3"/>
    <row r="268" ht="15" customHeight="1" x14ac:dyDescent="0.3"/>
    <row r="269" ht="15" customHeight="1" x14ac:dyDescent="0.3"/>
    <row r="270" ht="15" customHeight="1" x14ac:dyDescent="0.3"/>
    <row r="271" ht="15" customHeight="1" x14ac:dyDescent="0.3"/>
    <row r="272" ht="15" customHeight="1" x14ac:dyDescent="0.3"/>
    <row r="273" ht="15" customHeight="1" x14ac:dyDescent="0.3"/>
    <row r="274" ht="15" customHeight="1" x14ac:dyDescent="0.3"/>
    <row r="275" ht="15" customHeight="1" x14ac:dyDescent="0.3"/>
    <row r="276" ht="15" customHeight="1" x14ac:dyDescent="0.3"/>
    <row r="277" ht="15" customHeight="1" x14ac:dyDescent="0.3"/>
    <row r="278" ht="15" customHeight="1" x14ac:dyDescent="0.3"/>
    <row r="279" ht="15" customHeight="1" x14ac:dyDescent="0.3"/>
    <row r="280" ht="15" customHeight="1" x14ac:dyDescent="0.3"/>
    <row r="281" ht="15" customHeight="1" x14ac:dyDescent="0.3"/>
    <row r="282" ht="15" customHeight="1" x14ac:dyDescent="0.3"/>
    <row r="283" ht="15" customHeight="1" x14ac:dyDescent="0.3"/>
    <row r="284" ht="15" customHeight="1" x14ac:dyDescent="0.3"/>
    <row r="285" ht="15" customHeight="1" x14ac:dyDescent="0.3"/>
    <row r="286" ht="15" customHeight="1" x14ac:dyDescent="0.3"/>
    <row r="287" ht="15" customHeight="1" x14ac:dyDescent="0.3"/>
    <row r="288" ht="15" customHeight="1" x14ac:dyDescent="0.3"/>
    <row r="289" ht="15" customHeight="1" x14ac:dyDescent="0.3"/>
    <row r="290" ht="15" customHeight="1" x14ac:dyDescent="0.3"/>
    <row r="291" ht="15" customHeight="1" x14ac:dyDescent="0.3"/>
    <row r="292" ht="15" customHeight="1" x14ac:dyDescent="0.3"/>
    <row r="293" ht="15" customHeight="1" x14ac:dyDescent="0.3"/>
    <row r="294" ht="15" customHeight="1" x14ac:dyDescent="0.3"/>
    <row r="295" ht="15" customHeight="1" x14ac:dyDescent="0.3"/>
    <row r="296" ht="15" customHeight="1" x14ac:dyDescent="0.3"/>
    <row r="297" ht="15" customHeight="1" x14ac:dyDescent="0.3"/>
    <row r="298" ht="15" customHeight="1" x14ac:dyDescent="0.3"/>
    <row r="299" ht="1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2:N61" xr:uid="{00000000-0009-0000-0000-000001000000}"/>
  <mergeCells count="79">
    <mergeCell ref="A3:A61"/>
    <mergeCell ref="D28:D29"/>
    <mergeCell ref="D57:D60"/>
    <mergeCell ref="E30:E31"/>
    <mergeCell ref="E32:E33"/>
    <mergeCell ref="E16:E17"/>
    <mergeCell ref="D42:D43"/>
    <mergeCell ref="D20:D21"/>
    <mergeCell ref="E18:E19"/>
    <mergeCell ref="D46:D47"/>
    <mergeCell ref="E34:E35"/>
    <mergeCell ref="E25:E27"/>
    <mergeCell ref="E3:E7"/>
    <mergeCell ref="E36:E37"/>
    <mergeCell ref="E53:E54"/>
    <mergeCell ref="D51:D52"/>
    <mergeCell ref="B44:B52"/>
    <mergeCell ref="B53:B61"/>
    <mergeCell ref="F51:F52"/>
    <mergeCell ref="F8:F9"/>
    <mergeCell ref="E28:E29"/>
    <mergeCell ref="F22:F24"/>
    <mergeCell ref="F32:F33"/>
    <mergeCell ref="F48:F50"/>
    <mergeCell ref="F38:F39"/>
    <mergeCell ref="D44:D45"/>
    <mergeCell ref="B3:B19"/>
    <mergeCell ref="F20:F21"/>
    <mergeCell ref="E22:E24"/>
    <mergeCell ref="E38:E39"/>
    <mergeCell ref="B20:B35"/>
    <mergeCell ref="F25:F27"/>
    <mergeCell ref="F3:F7"/>
    <mergeCell ref="D30:D31"/>
    <mergeCell ref="F10:F11"/>
    <mergeCell ref="B36:B43"/>
    <mergeCell ref="E42:E43"/>
    <mergeCell ref="E20:E21"/>
    <mergeCell ref="E57:E60"/>
    <mergeCell ref="D10:D11"/>
    <mergeCell ref="D38:D39"/>
    <mergeCell ref="D34:D35"/>
    <mergeCell ref="F34:F35"/>
    <mergeCell ref="F16:F17"/>
    <mergeCell ref="F57:F60"/>
    <mergeCell ref="D40:D41"/>
    <mergeCell ref="F40:F41"/>
    <mergeCell ref="E55:E56"/>
    <mergeCell ref="E13:E14"/>
    <mergeCell ref="F36:F37"/>
    <mergeCell ref="E46:E47"/>
    <mergeCell ref="E40:E41"/>
    <mergeCell ref="D53:D54"/>
    <mergeCell ref="E48:E50"/>
    <mergeCell ref="P10:Q14"/>
    <mergeCell ref="D13:D14"/>
    <mergeCell ref="F42:F43"/>
    <mergeCell ref="D16:D17"/>
    <mergeCell ref="F13:F14"/>
    <mergeCell ref="D22:D24"/>
    <mergeCell ref="D18:D19"/>
    <mergeCell ref="F28:F29"/>
    <mergeCell ref="F55:F56"/>
    <mergeCell ref="D36:D37"/>
    <mergeCell ref="E10:E11"/>
    <mergeCell ref="F18:F19"/>
    <mergeCell ref="F30:F31"/>
    <mergeCell ref="D32:D33"/>
    <mergeCell ref="F46:F47"/>
    <mergeCell ref="D55:D56"/>
    <mergeCell ref="D48:D50"/>
    <mergeCell ref="E51:E52"/>
    <mergeCell ref="E44:E45"/>
    <mergeCell ref="F44:F45"/>
    <mergeCell ref="F53:F54"/>
    <mergeCell ref="E8:E9"/>
    <mergeCell ref="D3:D7"/>
    <mergeCell ref="D25:D27"/>
    <mergeCell ref="D8:D9"/>
  </mergeCells>
  <conditionalFormatting sqref="K3:K61">
    <cfRule type="cellIs" dxfId="12" priority="2" operator="equal">
      <formula>"OK"</formula>
    </cfRule>
    <cfRule type="cellIs" dxfId="11" priority="3" operator="equal">
      <formula>"KO"</formula>
    </cfRule>
    <cfRule type="cellIs" dxfId="10" priority="4" operator="equal">
      <formula>"BLOCKED"</formula>
    </cfRule>
    <cfRule type="cellIs" dxfId="9" priority="5" operator="equal">
      <formula>"NOT RUN"</formula>
    </cfRule>
  </conditionalFormatting>
  <dataValidations count="1">
    <dataValidation type="list" showErrorMessage="1" errorTitle="Statut" error="Choisir OK, KO, BLOCKED ou NOT RUN" sqref="K3:K61" xr:uid="{00000000-0002-0000-0100-000000000000}">
      <formula1>"OK,KO,BLOCKED,NOT RUN"</formula1>
      <formula2>0</formula2>
    </dataValidation>
  </dataValidation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6"/>
  <sheetViews>
    <sheetView zoomScaleNormal="100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A15" sqref="A15:A16"/>
    </sheetView>
  </sheetViews>
  <sheetFormatPr baseColWidth="10" defaultColWidth="8.6640625" defaultRowHeight="14.4" x14ac:dyDescent="0.3"/>
  <cols>
    <col min="1" max="1" width="12" customWidth="1"/>
    <col min="2" max="2" width="70" customWidth="1"/>
    <col min="3" max="3" width="12" customWidth="1"/>
    <col min="4" max="4" width="10" customWidth="1"/>
    <col min="5" max="5" width="34" customWidth="1"/>
    <col min="6" max="8" width="10" customWidth="1"/>
    <col min="9" max="10" width="12" customWidth="1"/>
    <col min="11" max="11" width="16" customWidth="1"/>
  </cols>
  <sheetData>
    <row r="1" spans="1:11" ht="28.35" customHeight="1" x14ac:dyDescent="0.3">
      <c r="A1" s="8" t="s">
        <v>28</v>
      </c>
      <c r="B1" s="8" t="s">
        <v>372</v>
      </c>
      <c r="C1" s="8" t="s">
        <v>373</v>
      </c>
      <c r="D1" s="8" t="s">
        <v>374</v>
      </c>
      <c r="E1" s="8" t="s">
        <v>375</v>
      </c>
      <c r="F1" s="8" t="s">
        <v>376</v>
      </c>
      <c r="G1" s="8" t="s">
        <v>377</v>
      </c>
      <c r="H1" s="8" t="s">
        <v>378</v>
      </c>
      <c r="I1" s="8" t="s">
        <v>379</v>
      </c>
      <c r="J1" s="8" t="s">
        <v>380</v>
      </c>
      <c r="K1" s="8" t="s">
        <v>381</v>
      </c>
    </row>
    <row r="2" spans="1:11" ht="31.5" customHeight="1" x14ac:dyDescent="0.3">
      <c r="A2" s="28" t="s">
        <v>42</v>
      </c>
      <c r="B2" s="29" t="s">
        <v>382</v>
      </c>
      <c r="C2" s="28" t="s">
        <v>383</v>
      </c>
      <c r="D2" s="28" t="s">
        <v>384</v>
      </c>
      <c r="E2" s="29" t="s">
        <v>34</v>
      </c>
      <c r="F2" s="28">
        <f>SUMPRODUCT(('Matrice de traçabilité'!$L$3:$L$61=A2)*('Matrice de traçabilité'!$G$3:$G$61=1))</f>
        <v>1</v>
      </c>
      <c r="G2" s="28">
        <f>COUNTIFS('Matrice de traçabilité'!$L$3:$L$61,A2,'Matrice de traçabilité'!$K$3:$K$61,"OK")</f>
        <v>5</v>
      </c>
      <c r="H2" s="28">
        <f>COUNTIFS('Matrice de traçabilité'!$L$3:$L$61,A2,'Matrice de traçabilité'!$K$3:$K$61,"KO")</f>
        <v>0</v>
      </c>
      <c r="I2" s="28">
        <f>COUNTIFS('Matrice de traçabilité'!$L$3:$L$61,A2,'Matrice de traçabilité'!$K$3:$K$61,"BLOCKED")</f>
        <v>0</v>
      </c>
      <c r="J2" s="28">
        <f>COUNTIFS('Matrice de traçabilité'!$L$3:$L$61,A2,'Matrice de traçabilité'!$K$3:$K$61,"NOT RUN")</f>
        <v>0</v>
      </c>
      <c r="K2" s="28" t="str">
        <f t="shared" ref="K2:K13" si="0">IF(F2=0,"NON COUVERTE",IF(H2&gt;0,"KO",IF(I2&gt;0,"BLOCKED",IF(J2&gt;0,"NOT RUN","OK"))))</f>
        <v>OK</v>
      </c>
    </row>
    <row r="3" spans="1:11" ht="31.5" customHeight="1" x14ac:dyDescent="0.3">
      <c r="A3" s="28" t="s">
        <v>74</v>
      </c>
      <c r="B3" s="29" t="s">
        <v>385</v>
      </c>
      <c r="C3" s="28" t="s">
        <v>383</v>
      </c>
      <c r="D3" s="28" t="s">
        <v>384</v>
      </c>
      <c r="E3" s="29" t="s">
        <v>386</v>
      </c>
      <c r="F3" s="28">
        <f>SUMPRODUCT(('Matrice de traçabilité'!$L$3:$L$61=A3)*('Matrice de traçabilité'!$G$3:$G$61=1))</f>
        <v>3</v>
      </c>
      <c r="G3" s="28">
        <f>COUNTIFS('Matrice de traçabilité'!$L$3:$L$61,A3,'Matrice de traçabilité'!$K$3:$K$61,"OK")</f>
        <v>5</v>
      </c>
      <c r="H3" s="28">
        <f>COUNTIFS('Matrice de traçabilité'!$L$3:$L$61,A3,'Matrice de traçabilité'!$K$3:$K$61,"KO")</f>
        <v>0</v>
      </c>
      <c r="I3" s="28">
        <f>COUNTIFS('Matrice de traçabilité'!$L$3:$L$61,A3,'Matrice de traçabilité'!$K$3:$K$61,"BLOCKED")</f>
        <v>0</v>
      </c>
      <c r="J3" s="28">
        <f>COUNTIFS('Matrice de traçabilité'!$L$3:$L$61,A3,'Matrice de traçabilité'!$K$3:$K$61,"NOT RUN")</f>
        <v>0</v>
      </c>
      <c r="K3" s="28" t="str">
        <f t="shared" si="0"/>
        <v>OK</v>
      </c>
    </row>
    <row r="4" spans="1:11" ht="31.5" customHeight="1" x14ac:dyDescent="0.3">
      <c r="A4" s="28" t="s">
        <v>104</v>
      </c>
      <c r="B4" s="29" t="s">
        <v>387</v>
      </c>
      <c r="C4" s="28" t="s">
        <v>383</v>
      </c>
      <c r="D4" s="28" t="s">
        <v>384</v>
      </c>
      <c r="E4" s="29" t="s">
        <v>388</v>
      </c>
      <c r="F4" s="28">
        <f>SUMPRODUCT(('Matrice de traçabilité'!$L$3:$L$61=A4)*('Matrice de traçabilité'!$G$3:$G$61=1))</f>
        <v>3</v>
      </c>
      <c r="G4" s="28">
        <f>COUNTIFS('Matrice de traçabilité'!$L$3:$L$61,A4,'Matrice de traçabilité'!$K$3:$K$61,"OK")</f>
        <v>5</v>
      </c>
      <c r="H4" s="28">
        <f>COUNTIFS('Matrice de traçabilité'!$L$3:$L$61,A4,'Matrice de traçabilité'!$K$3:$K$61,"KO")</f>
        <v>0</v>
      </c>
      <c r="I4" s="28">
        <f>COUNTIFS('Matrice de traçabilité'!$L$3:$L$61,A4,'Matrice de traçabilité'!$K$3:$K$61,"BLOCKED")</f>
        <v>0</v>
      </c>
      <c r="J4" s="28">
        <f>COUNTIFS('Matrice de traçabilité'!$L$3:$L$61,A4,'Matrice de traçabilité'!$K$3:$K$61,"NOT RUN")</f>
        <v>0</v>
      </c>
      <c r="K4" s="28" t="str">
        <f t="shared" si="0"/>
        <v>OK</v>
      </c>
    </row>
    <row r="5" spans="1:11" ht="31.5" customHeight="1" x14ac:dyDescent="0.3">
      <c r="A5" s="28" t="s">
        <v>134</v>
      </c>
      <c r="B5" s="29" t="s">
        <v>389</v>
      </c>
      <c r="C5" s="28" t="s">
        <v>383</v>
      </c>
      <c r="D5" s="28" t="s">
        <v>384</v>
      </c>
      <c r="E5" s="29" t="s">
        <v>128</v>
      </c>
      <c r="F5" s="28">
        <f>SUMPRODUCT(('Matrice de traçabilité'!$L$3:$L$61=A5)*('Matrice de traçabilité'!$G$3:$G$61=1))</f>
        <v>1</v>
      </c>
      <c r="G5" s="28">
        <f>COUNTIFS('Matrice de traçabilité'!$L$3:$L$61,A5,'Matrice de traçabilité'!$K$3:$K$61,"OK")</f>
        <v>2</v>
      </c>
      <c r="H5" s="28">
        <f>COUNTIFS('Matrice de traçabilité'!$L$3:$L$61,A5,'Matrice de traçabilité'!$K$3:$K$61,"KO")</f>
        <v>0</v>
      </c>
      <c r="I5" s="28">
        <f>COUNTIFS('Matrice de traçabilité'!$L$3:$L$61,A5,'Matrice de traçabilité'!$K$3:$K$61,"BLOCKED")</f>
        <v>0</v>
      </c>
      <c r="J5" s="28">
        <f>COUNTIFS('Matrice de traçabilité'!$L$3:$L$61,A5,'Matrice de traçabilité'!$K$3:$K$61,"NOT RUN")</f>
        <v>0</v>
      </c>
      <c r="K5" s="28" t="str">
        <f t="shared" si="0"/>
        <v>OK</v>
      </c>
    </row>
    <row r="6" spans="1:11" ht="31.5" customHeight="1" x14ac:dyDescent="0.3">
      <c r="A6" s="28" t="s">
        <v>147</v>
      </c>
      <c r="B6" s="29" t="s">
        <v>390</v>
      </c>
      <c r="C6" s="28" t="s">
        <v>391</v>
      </c>
      <c r="D6" s="28" t="s">
        <v>392</v>
      </c>
      <c r="E6" s="29" t="s">
        <v>393</v>
      </c>
      <c r="F6" s="28">
        <f>SUMPRODUCT(('Matrice de traçabilité'!$L$3:$L$61=A6)*('Matrice de traçabilité'!$G$3:$G$61=1))</f>
        <v>2</v>
      </c>
      <c r="G6" s="28">
        <f>COUNTIFS('Matrice de traçabilité'!$L$3:$L$61,A6,'Matrice de traçabilité'!$K$3:$K$61,"OK")</f>
        <v>5</v>
      </c>
      <c r="H6" s="28">
        <f>COUNTIFS('Matrice de traçabilité'!$L$3:$L$61,A6,'Matrice de traçabilité'!$K$3:$K$61,"KO")</f>
        <v>0</v>
      </c>
      <c r="I6" s="28">
        <f>COUNTIFS('Matrice de traçabilité'!$L$3:$L$61,A6,'Matrice de traçabilité'!$K$3:$K$61,"BLOCKED")</f>
        <v>0</v>
      </c>
      <c r="J6" s="28">
        <f>COUNTIFS('Matrice de traçabilité'!$L$3:$L$61,A6,'Matrice de traçabilité'!$K$3:$K$61,"NOT RUN")</f>
        <v>0</v>
      </c>
      <c r="K6" s="28" t="str">
        <f t="shared" si="0"/>
        <v>OK</v>
      </c>
    </row>
    <row r="7" spans="1:11" ht="31.5" customHeight="1" x14ac:dyDescent="0.3">
      <c r="A7" s="28" t="s">
        <v>173</v>
      </c>
      <c r="B7" s="29" t="s">
        <v>394</v>
      </c>
      <c r="C7" s="28" t="s">
        <v>391</v>
      </c>
      <c r="D7" s="28" t="s">
        <v>384</v>
      </c>
      <c r="E7" s="29" t="s">
        <v>167</v>
      </c>
      <c r="F7" s="28">
        <f>SUMPRODUCT(('Matrice de traçabilité'!$L$3:$L$61=A7)*('Matrice de traçabilité'!$G$3:$G$61=1))</f>
        <v>1</v>
      </c>
      <c r="G7" s="28">
        <f>COUNTIFS('Matrice de traçabilité'!$L$3:$L$61,A7,'Matrice de traçabilité'!$K$3:$K$61,"OK")</f>
        <v>2</v>
      </c>
      <c r="H7" s="28">
        <f>COUNTIFS('Matrice de traçabilité'!$L$3:$L$61,A7,'Matrice de traçabilité'!$K$3:$K$61,"KO")</f>
        <v>1</v>
      </c>
      <c r="I7" s="28">
        <f>COUNTIFS('Matrice de traçabilité'!$L$3:$L$61,A7,'Matrice de traçabilité'!$K$3:$K$61,"BLOCKED")</f>
        <v>0</v>
      </c>
      <c r="J7" s="28">
        <f>COUNTIFS('Matrice de traçabilité'!$L$3:$L$61,A7,'Matrice de traçabilité'!$K$3:$K$61,"NOT RUN")</f>
        <v>0</v>
      </c>
      <c r="K7" s="28" t="str">
        <f t="shared" si="0"/>
        <v>KO</v>
      </c>
    </row>
    <row r="8" spans="1:11" ht="31.5" customHeight="1" x14ac:dyDescent="0.3">
      <c r="A8" s="28" t="s">
        <v>190</v>
      </c>
      <c r="B8" s="29" t="s">
        <v>395</v>
      </c>
      <c r="C8" s="28" t="s">
        <v>391</v>
      </c>
      <c r="D8" s="28" t="s">
        <v>392</v>
      </c>
      <c r="E8" s="29" t="s">
        <v>396</v>
      </c>
      <c r="F8" s="28">
        <f>SUMPRODUCT(('Matrice de traçabilité'!$L$3:$L$61=A8)*('Matrice de traçabilité'!$G$3:$G$61=1))</f>
        <v>2</v>
      </c>
      <c r="G8" s="28">
        <f>COUNTIFS('Matrice de traçabilité'!$L$3:$L$61,A8,'Matrice de traçabilité'!$K$3:$K$61,"OK")</f>
        <v>4</v>
      </c>
      <c r="H8" s="28">
        <f>COUNTIFS('Matrice de traçabilité'!$L$3:$L$61,A8,'Matrice de traçabilité'!$K$3:$K$61,"KO")</f>
        <v>0</v>
      </c>
      <c r="I8" s="28">
        <f>COUNTIFS('Matrice de traçabilité'!$L$3:$L$61,A8,'Matrice de traçabilité'!$K$3:$K$61,"BLOCKED")</f>
        <v>0</v>
      </c>
      <c r="J8" s="28">
        <f>COUNTIFS('Matrice de traçabilité'!$L$3:$L$61,A8,'Matrice de traçabilité'!$K$3:$K$61,"NOT RUN")</f>
        <v>0</v>
      </c>
      <c r="K8" s="28" t="str">
        <f t="shared" si="0"/>
        <v>OK</v>
      </c>
    </row>
    <row r="9" spans="1:11" ht="31.5" customHeight="1" x14ac:dyDescent="0.3">
      <c r="A9" s="28" t="s">
        <v>212</v>
      </c>
      <c r="B9" s="29" t="s">
        <v>397</v>
      </c>
      <c r="C9" s="28" t="s">
        <v>391</v>
      </c>
      <c r="D9" s="28" t="s">
        <v>392</v>
      </c>
      <c r="E9" s="29" t="s">
        <v>398</v>
      </c>
      <c r="F9" s="28">
        <f>SUMPRODUCT(('Matrice de traçabilité'!$L$3:$L$61=A9)*('Matrice de traçabilité'!$G$3:$G$61=1))</f>
        <v>2</v>
      </c>
      <c r="G9" s="28">
        <f>COUNTIFS('Matrice de traçabilité'!$L$3:$L$61,A9,'Matrice de traçabilité'!$K$3:$K$61,"OK")</f>
        <v>3</v>
      </c>
      <c r="H9" s="28">
        <f>COUNTIFS('Matrice de traçabilité'!$L$3:$L$61,A9,'Matrice de traçabilité'!$K$3:$K$61,"KO")</f>
        <v>0</v>
      </c>
      <c r="I9" s="28">
        <f>COUNTIFS('Matrice de traçabilité'!$L$3:$L$61,A9,'Matrice de traçabilité'!$K$3:$K$61,"BLOCKED")</f>
        <v>1</v>
      </c>
      <c r="J9" s="28">
        <f>COUNTIFS('Matrice de traçabilité'!$L$3:$L$61,A9,'Matrice de traçabilité'!$K$3:$K$61,"NOT RUN")</f>
        <v>0</v>
      </c>
      <c r="K9" s="28" t="str">
        <f t="shared" si="0"/>
        <v>BLOCKED</v>
      </c>
    </row>
    <row r="10" spans="1:11" ht="31.5" customHeight="1" x14ac:dyDescent="0.3">
      <c r="A10" s="28" t="s">
        <v>236</v>
      </c>
      <c r="B10" s="29" t="s">
        <v>399</v>
      </c>
      <c r="C10" s="28" t="s">
        <v>400</v>
      </c>
      <c r="D10" s="28" t="s">
        <v>384</v>
      </c>
      <c r="E10" s="29" t="s">
        <v>230</v>
      </c>
      <c r="F10" s="28">
        <f>SUMPRODUCT(('Matrice de traçabilité'!$L$3:$L$61=A10)*('Matrice de traçabilité'!$G$3:$G$61=1))</f>
        <v>1</v>
      </c>
      <c r="G10" s="28">
        <f>COUNTIFS('Matrice de traçabilité'!$L$3:$L$61,A10,'Matrice de traçabilité'!$K$3:$K$61,"OK")</f>
        <v>2</v>
      </c>
      <c r="H10" s="28">
        <f>COUNTIFS('Matrice de traçabilité'!$L$3:$L$61,A10,'Matrice de traçabilité'!$K$3:$K$61,"KO")</f>
        <v>0</v>
      </c>
      <c r="I10" s="28">
        <f>COUNTIFS('Matrice de traçabilité'!$L$3:$L$61,A10,'Matrice de traçabilité'!$K$3:$K$61,"BLOCKED")</f>
        <v>0</v>
      </c>
      <c r="J10" s="28">
        <f>COUNTIFS('Matrice de traçabilité'!$L$3:$L$61,A10,'Matrice de traçabilité'!$K$3:$K$61,"NOT RUN")</f>
        <v>0</v>
      </c>
      <c r="K10" s="28" t="str">
        <f t="shared" si="0"/>
        <v>OK</v>
      </c>
    </row>
    <row r="11" spans="1:11" ht="31.5" customHeight="1" x14ac:dyDescent="0.3">
      <c r="A11" s="28" t="s">
        <v>248</v>
      </c>
      <c r="B11" s="29" t="s">
        <v>401</v>
      </c>
      <c r="C11" s="28" t="s">
        <v>400</v>
      </c>
      <c r="D11" s="28" t="s">
        <v>384</v>
      </c>
      <c r="E11" s="29" t="s">
        <v>402</v>
      </c>
      <c r="F11" s="28">
        <f>SUMPRODUCT(('Matrice de traçabilité'!$L$3:$L$61=A11)*('Matrice de traçabilité'!$G$3:$G$61=1))</f>
        <v>3</v>
      </c>
      <c r="G11" s="28">
        <f>COUNTIFS('Matrice de traçabilité'!$L$3:$L$61,A11,'Matrice de traçabilité'!$K$3:$K$61,"OK")</f>
        <v>5</v>
      </c>
      <c r="H11" s="28">
        <f>COUNTIFS('Matrice de traçabilité'!$L$3:$L$61,A11,'Matrice de traçabilité'!$K$3:$K$61,"KO")</f>
        <v>1</v>
      </c>
      <c r="I11" s="28">
        <f>COUNTIFS('Matrice de traçabilité'!$L$3:$L$61,A11,'Matrice de traçabilité'!$K$3:$K$61,"BLOCKED")</f>
        <v>0</v>
      </c>
      <c r="J11" s="28">
        <f>COUNTIFS('Matrice de traçabilité'!$L$3:$L$61,A11,'Matrice de traçabilité'!$K$3:$K$61,"NOT RUN")</f>
        <v>0</v>
      </c>
      <c r="K11" s="28" t="str">
        <f t="shared" si="0"/>
        <v>KO</v>
      </c>
    </row>
    <row r="12" spans="1:11" ht="31.5" customHeight="1" x14ac:dyDescent="0.3">
      <c r="A12" s="28" t="s">
        <v>282</v>
      </c>
      <c r="B12" s="29" t="s">
        <v>403</v>
      </c>
      <c r="C12" s="28" t="s">
        <v>404</v>
      </c>
      <c r="D12" s="28" t="s">
        <v>384</v>
      </c>
      <c r="E12" s="29" t="s">
        <v>405</v>
      </c>
      <c r="F12" s="28">
        <f>SUMPRODUCT(('Matrice de traçabilité'!$L$3:$L$61=A12)*('Matrice de traçabilité'!$G$3:$G$61=1))</f>
        <v>4</v>
      </c>
      <c r="G12" s="28">
        <f>COUNTIFS('Matrice de traçabilité'!$L$3:$L$61,A12,'Matrice de traçabilité'!$K$3:$K$61,"OK")</f>
        <v>9</v>
      </c>
      <c r="H12" s="28">
        <f>COUNTIFS('Matrice de traçabilité'!$L$3:$L$61,A12,'Matrice de traçabilité'!$K$3:$K$61,"KO")</f>
        <v>0</v>
      </c>
      <c r="I12" s="28">
        <f>COUNTIFS('Matrice de traçabilité'!$L$3:$L$61,A12,'Matrice de traçabilité'!$K$3:$K$61,"BLOCKED")</f>
        <v>0</v>
      </c>
      <c r="J12" s="28">
        <f>COUNTIFS('Matrice de traçabilité'!$L$3:$L$61,A12,'Matrice de traçabilité'!$K$3:$K$61,"NOT RUN")</f>
        <v>0</v>
      </c>
      <c r="K12" s="28" t="str">
        <f t="shared" si="0"/>
        <v>OK</v>
      </c>
    </row>
    <row r="13" spans="1:11" ht="31.5" customHeight="1" x14ac:dyDescent="0.3">
      <c r="A13" s="28" t="s">
        <v>330</v>
      </c>
      <c r="B13" s="29" t="s">
        <v>406</v>
      </c>
      <c r="C13" s="28" t="s">
        <v>407</v>
      </c>
      <c r="D13" s="28" t="s">
        <v>392</v>
      </c>
      <c r="E13" s="29" t="s">
        <v>408</v>
      </c>
      <c r="F13" s="28">
        <f>SUMPRODUCT(('Matrice de traçabilité'!$L$3:$L$61=A13)*('Matrice de traçabilité'!$G$3:$G$61=1))</f>
        <v>4</v>
      </c>
      <c r="G13" s="28">
        <f>COUNTIFS('Matrice de traçabilité'!$L$3:$L$61,A13,'Matrice de traçabilité'!$K$3:$K$61,"OK")</f>
        <v>9</v>
      </c>
      <c r="H13" s="28">
        <f>COUNTIFS('Matrice de traçabilité'!$L$3:$L$61,A13,'Matrice de traçabilité'!$K$3:$K$61,"KO")</f>
        <v>0</v>
      </c>
      <c r="I13" s="28">
        <f>COUNTIFS('Matrice de traçabilité'!$L$3:$L$61,A13,'Matrice de traçabilité'!$K$3:$K$61,"BLOCKED")</f>
        <v>0</v>
      </c>
      <c r="J13" s="28">
        <f>COUNTIFS('Matrice de traçabilité'!$L$3:$L$61,A13,'Matrice de traçabilité'!$K$3:$K$61,"NOT RUN")</f>
        <v>0</v>
      </c>
      <c r="K13" s="28" t="str">
        <f t="shared" si="0"/>
        <v>OK</v>
      </c>
    </row>
    <row r="15" spans="1:11" ht="15" customHeight="1" x14ac:dyDescent="0.3">
      <c r="A15" s="30"/>
    </row>
    <row r="16" spans="1:11" ht="15" customHeight="1" x14ac:dyDescent="0.3">
      <c r="A16" s="30"/>
    </row>
  </sheetData>
  <conditionalFormatting sqref="K2:K13">
    <cfRule type="cellIs" dxfId="8" priority="2" operator="equal">
      <formula>"OK"</formula>
    </cfRule>
    <cfRule type="cellIs" dxfId="7" priority="3" operator="equal">
      <formula>"KO"</formula>
    </cfRule>
    <cfRule type="cellIs" dxfId="6" priority="4" operator="equal">
      <formula>"BLOCKED"</formula>
    </cfRule>
    <cfRule type="cellIs" dxfId="5" priority="5" operator="equal">
      <formula>"NOT RUN"</formula>
    </cfRule>
    <cfRule type="cellIs" dxfId="4" priority="6" operator="equal">
      <formula>"NON COUVERTE"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8"/>
  <sheetViews>
    <sheetView zoomScaleNormal="100" workbookViewId="0">
      <pane xSplit="1" ySplit="1" topLeftCell="B1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10" customWidth="1"/>
    <col min="2" max="2" width="46" customWidth="1"/>
    <col min="3" max="3" width="10" customWidth="1"/>
    <col min="4" max="4" width="34" customWidth="1"/>
    <col min="5" max="5" width="12" customWidth="1"/>
    <col min="6" max="6" width="10" customWidth="1"/>
    <col min="7" max="7" width="14" customWidth="1"/>
    <col min="8" max="8" width="12" customWidth="1"/>
    <col min="10" max="10" width="3" customWidth="1"/>
    <col min="11" max="11" width="44" customWidth="1"/>
    <col min="12" max="12" width="12" customWidth="1"/>
  </cols>
  <sheetData>
    <row r="1" spans="1:12" ht="15" customHeight="1" x14ac:dyDescent="0.3">
      <c r="A1" s="8" t="s">
        <v>19</v>
      </c>
      <c r="B1" s="8" t="s">
        <v>409</v>
      </c>
      <c r="C1" s="8" t="s">
        <v>410</v>
      </c>
      <c r="D1" s="8" t="s">
        <v>18</v>
      </c>
      <c r="E1" s="8" t="s">
        <v>28</v>
      </c>
      <c r="F1" s="8" t="s">
        <v>411</v>
      </c>
      <c r="G1" s="8" t="s">
        <v>412</v>
      </c>
      <c r="H1" s="8" t="s">
        <v>29</v>
      </c>
      <c r="K1" s="9" t="s">
        <v>413</v>
      </c>
    </row>
    <row r="2" spans="1:12" ht="15" customHeight="1" x14ac:dyDescent="0.3">
      <c r="A2" s="28" t="s">
        <v>34</v>
      </c>
      <c r="B2" s="29" t="s">
        <v>35</v>
      </c>
      <c r="C2" s="28" t="s">
        <v>36</v>
      </c>
      <c r="D2" s="29" t="s">
        <v>33</v>
      </c>
      <c r="E2" s="28" t="s">
        <v>42</v>
      </c>
      <c r="F2" s="28">
        <f>COUNTIF('Matrice de traçabilité'!$C$3:$C$61,A2)</f>
        <v>5</v>
      </c>
      <c r="G2" s="28" t="str">
        <f>IF(COUNTIFS('Matrice de traçabilité'!$C$3:$C$61,A2,'Matrice de traçabilité'!$K$3:$K$61,"KO")&gt;0,"KO",IF(COUNTIFS('Matrice de traçabilité'!$C$3:$C$61,A2,'Matrice de traçabilité'!$K$3:$K$61,"BLOCKED")&gt;0,"BLOCKED",IF(COUNTIFS('Matrice de traçabilité'!$C$3:$C$61,A2,'Matrice de traçabilité'!$K$3:$K$61,"NOT RUN")&gt;0,"NOT RUN","OK")))</f>
        <v>OK</v>
      </c>
      <c r="H2" s="28" t="str">
        <f>IF(COUNTIFS('Matrice de traçabilité'!$C$3:$C$61,A2,'Matrice de traçabilité'!$M$3:$M$61,"&lt;&gt;")=0,"",INDEX('Matrice de traçabilité'!$M$3:$M$61,MATCH(1,INDEX(('Matrice de traçabilité'!$C$3:$C$61=A2)*('Matrice de traçabilité'!$M$3:$M$61&lt;&gt;""),0),0)))</f>
        <v/>
      </c>
      <c r="K2" s="29" t="s">
        <v>414</v>
      </c>
      <c r="L2" s="31">
        <f>COUNTA($A$2:$A$28)</f>
        <v>27</v>
      </c>
    </row>
    <row r="3" spans="1:12" ht="15" customHeight="1" x14ac:dyDescent="0.3">
      <c r="A3" s="28" t="s">
        <v>67</v>
      </c>
      <c r="B3" s="29" t="s">
        <v>68</v>
      </c>
      <c r="C3" s="28" t="s">
        <v>69</v>
      </c>
      <c r="D3" s="29" t="s">
        <v>33</v>
      </c>
      <c r="E3" s="28" t="s">
        <v>74</v>
      </c>
      <c r="F3" s="28">
        <f>COUNTIF('Matrice de traçabilité'!$C$3:$C$61,A3)</f>
        <v>2</v>
      </c>
      <c r="G3" s="28" t="str">
        <f>IF(COUNTIFS('Matrice de traçabilité'!$C$3:$C$61,A3,'Matrice de traçabilité'!$K$3:$K$61,"KO")&gt;0,"KO",IF(COUNTIFS('Matrice de traçabilité'!$C$3:$C$61,A3,'Matrice de traçabilité'!$K$3:$K$61,"BLOCKED")&gt;0,"BLOCKED",IF(COUNTIFS('Matrice de traçabilité'!$C$3:$C$61,A3,'Matrice de traçabilité'!$K$3:$K$61,"NOT RUN")&gt;0,"NOT RUN","OK")))</f>
        <v>OK</v>
      </c>
      <c r="H3" s="28" t="str">
        <f>IF(COUNTIFS('Matrice de traçabilité'!$C$3:$C$61,A3,'Matrice de traçabilité'!$M$3:$M$61,"&lt;&gt;")=0,"",INDEX('Matrice de traçabilité'!$M$3:$M$61,MATCH(1,INDEX(('Matrice de traçabilité'!$C$3:$C$61=A3)*('Matrice de traçabilité'!$M$3:$M$61&lt;&gt;""),0),0)))</f>
        <v/>
      </c>
      <c r="K3" s="29" t="s">
        <v>415</v>
      </c>
      <c r="L3" s="31">
        <f>L4+L5</f>
        <v>26</v>
      </c>
    </row>
    <row r="4" spans="1:12" ht="15" customHeight="1" x14ac:dyDescent="0.3">
      <c r="A4" s="28" t="s">
        <v>81</v>
      </c>
      <c r="B4" s="29" t="s">
        <v>82</v>
      </c>
      <c r="C4" s="28" t="s">
        <v>69</v>
      </c>
      <c r="D4" s="29" t="s">
        <v>33</v>
      </c>
      <c r="E4" s="28" t="s">
        <v>74</v>
      </c>
      <c r="F4" s="28">
        <f>COUNTIF('Matrice de traçabilité'!$C$3:$C$61,A4)</f>
        <v>2</v>
      </c>
      <c r="G4" s="28" t="str">
        <f>IF(COUNTIFS('Matrice de traçabilité'!$C$3:$C$61,A4,'Matrice de traçabilité'!$K$3:$K$61,"KO")&gt;0,"KO",IF(COUNTIFS('Matrice de traçabilité'!$C$3:$C$61,A4,'Matrice de traçabilité'!$K$3:$K$61,"BLOCKED")&gt;0,"BLOCKED",IF(COUNTIFS('Matrice de traçabilité'!$C$3:$C$61,A4,'Matrice de traçabilité'!$K$3:$K$61,"NOT RUN")&gt;0,"NOT RUN","OK")))</f>
        <v>OK</v>
      </c>
      <c r="H4" s="28" t="str">
        <f>IF(COUNTIFS('Matrice de traçabilité'!$C$3:$C$61,A4,'Matrice de traçabilité'!$M$3:$M$61,"&lt;&gt;")=0,"",INDEX('Matrice de traçabilité'!$M$3:$M$61,MATCH(1,INDEX(('Matrice de traçabilité'!$C$3:$C$61=A4)*('Matrice de traçabilité'!$M$3:$M$61&lt;&gt;""),0),0)))</f>
        <v/>
      </c>
      <c r="K4" s="29" t="s">
        <v>416</v>
      </c>
      <c r="L4" s="31">
        <f>COUNTIF($G$2:$G$28,"OK")</f>
        <v>24</v>
      </c>
    </row>
    <row r="5" spans="1:12" ht="15" customHeight="1" x14ac:dyDescent="0.3">
      <c r="A5" s="28" t="s">
        <v>92</v>
      </c>
      <c r="B5" s="29" t="s">
        <v>93</v>
      </c>
      <c r="C5" s="28" t="s">
        <v>69</v>
      </c>
      <c r="D5" s="29" t="s">
        <v>33</v>
      </c>
      <c r="E5" s="28" t="s">
        <v>74</v>
      </c>
      <c r="F5" s="28">
        <f>COUNTIF('Matrice de traçabilité'!$C$3:$C$61,A5)</f>
        <v>1</v>
      </c>
      <c r="G5" s="28" t="str">
        <f>IF(COUNTIFS('Matrice de traçabilité'!$C$3:$C$61,A5,'Matrice de traçabilité'!$K$3:$K$61,"KO")&gt;0,"KO",IF(COUNTIFS('Matrice de traçabilité'!$C$3:$C$61,A5,'Matrice de traçabilité'!$K$3:$K$61,"BLOCKED")&gt;0,"BLOCKED",IF(COUNTIFS('Matrice de traçabilité'!$C$3:$C$61,A5,'Matrice de traçabilité'!$K$3:$K$61,"NOT RUN")&gt;0,"NOT RUN","OK")))</f>
        <v>OK</v>
      </c>
      <c r="H5" s="28" t="str">
        <f>IF(COUNTIFS('Matrice de traçabilité'!$C$3:$C$61,A5,'Matrice de traçabilité'!$M$3:$M$61,"&lt;&gt;")=0,"",INDEX('Matrice de traçabilité'!$M$3:$M$61,MATCH(1,INDEX(('Matrice de traçabilité'!$C$3:$C$61=A5)*('Matrice de traçabilité'!$M$3:$M$61&lt;&gt;""),0),0)))</f>
        <v/>
      </c>
      <c r="K5" s="29" t="s">
        <v>417</v>
      </c>
      <c r="L5" s="31">
        <f>COUNTIF($G$2:$G$28,"KO")</f>
        <v>2</v>
      </c>
    </row>
    <row r="6" spans="1:12" ht="15" customHeight="1" x14ac:dyDescent="0.3">
      <c r="A6" s="28" t="s">
        <v>99</v>
      </c>
      <c r="B6" s="29" t="s">
        <v>100</v>
      </c>
      <c r="C6" s="28" t="s">
        <v>36</v>
      </c>
      <c r="D6" s="29" t="s">
        <v>33</v>
      </c>
      <c r="E6" s="28" t="s">
        <v>104</v>
      </c>
      <c r="F6" s="28">
        <f>COUNTIF('Matrice de traçabilité'!$C$3:$C$61,A6)</f>
        <v>2</v>
      </c>
      <c r="G6" s="28" t="str">
        <f>IF(COUNTIFS('Matrice de traçabilité'!$C$3:$C$61,A6,'Matrice de traçabilité'!$K$3:$K$61,"KO")&gt;0,"KO",IF(COUNTIFS('Matrice de traçabilité'!$C$3:$C$61,A6,'Matrice de traçabilité'!$K$3:$K$61,"BLOCKED")&gt;0,"BLOCKED",IF(COUNTIFS('Matrice de traçabilité'!$C$3:$C$61,A6,'Matrice de traçabilité'!$K$3:$K$61,"NOT RUN")&gt;0,"NOT RUN","OK")))</f>
        <v>OK</v>
      </c>
      <c r="H6" s="28" t="str">
        <f>IF(COUNTIFS('Matrice de traçabilité'!$C$3:$C$61,A6,'Matrice de traçabilité'!$M$3:$M$61,"&lt;&gt;")=0,"",INDEX('Matrice de traçabilité'!$M$3:$M$61,MATCH(1,INDEX(('Matrice de traçabilité'!$C$3:$C$61=A6)*('Matrice de traçabilité'!$M$3:$M$61&lt;&gt;""),0),0)))</f>
        <v/>
      </c>
      <c r="K6" s="29" t="s">
        <v>55</v>
      </c>
      <c r="L6" s="31">
        <f>COUNTIF($G$2:$G$28,"BLOCKED")</f>
        <v>1</v>
      </c>
    </row>
    <row r="7" spans="1:12" ht="15" customHeight="1" x14ac:dyDescent="0.3">
      <c r="A7" s="28" t="s">
        <v>110</v>
      </c>
      <c r="B7" s="29" t="s">
        <v>111</v>
      </c>
      <c r="C7" s="28" t="s">
        <v>69</v>
      </c>
      <c r="D7" s="29" t="s">
        <v>33</v>
      </c>
      <c r="E7" s="28" t="s">
        <v>104</v>
      </c>
      <c r="F7" s="28">
        <f>COUNTIF('Matrice de traçabilité'!$C$3:$C$61,A7)</f>
        <v>1</v>
      </c>
      <c r="G7" s="28" t="str">
        <f>IF(COUNTIFS('Matrice de traçabilité'!$C$3:$C$61,A7,'Matrice de traçabilité'!$K$3:$K$61,"KO")&gt;0,"KO",IF(COUNTIFS('Matrice de traçabilité'!$C$3:$C$61,A7,'Matrice de traçabilité'!$K$3:$K$61,"BLOCKED")&gt;0,"BLOCKED",IF(COUNTIFS('Matrice de traçabilité'!$C$3:$C$61,A7,'Matrice de traçabilité'!$K$3:$K$61,"NOT RUN")&gt;0,"NOT RUN","OK")))</f>
        <v>OK</v>
      </c>
      <c r="H7" s="28" t="str">
        <f>IF(COUNTIFS('Matrice de traçabilité'!$C$3:$C$61,A7,'Matrice de traçabilité'!$M$3:$M$61,"&lt;&gt;")=0,"",INDEX('Matrice de traçabilité'!$M$3:$M$61,MATCH(1,INDEX(('Matrice de traçabilité'!$C$3:$C$61=A7)*('Matrice de traçabilité'!$M$3:$M$61&lt;&gt;""),0),0)))</f>
        <v/>
      </c>
      <c r="K7" s="29" t="s">
        <v>61</v>
      </c>
      <c r="L7" s="31">
        <f>COUNTIF($G$2:$G$28,"NOT RUN")</f>
        <v>0</v>
      </c>
    </row>
    <row r="8" spans="1:12" ht="15" customHeight="1" x14ac:dyDescent="0.3">
      <c r="A8" s="28" t="s">
        <v>117</v>
      </c>
      <c r="B8" s="29" t="s">
        <v>118</v>
      </c>
      <c r="C8" s="28" t="s">
        <v>69</v>
      </c>
      <c r="D8" s="29" t="s">
        <v>33</v>
      </c>
      <c r="E8" s="28" t="s">
        <v>104</v>
      </c>
      <c r="F8" s="28">
        <f>COUNTIF('Matrice de traçabilité'!$C$3:$C$61,A8)</f>
        <v>2</v>
      </c>
      <c r="G8" s="28" t="str">
        <f>IF(COUNTIFS('Matrice de traçabilité'!$C$3:$C$61,A8,'Matrice de traçabilité'!$K$3:$K$61,"KO")&gt;0,"KO",IF(COUNTIFS('Matrice de traçabilité'!$C$3:$C$61,A8,'Matrice de traçabilité'!$K$3:$K$61,"BLOCKED")&gt;0,"BLOCKED",IF(COUNTIFS('Matrice de traçabilité'!$C$3:$C$61,A8,'Matrice de traçabilité'!$K$3:$K$61,"NOT RUN")&gt;0,"NOT RUN","OK")))</f>
        <v>OK</v>
      </c>
      <c r="H8" s="28" t="str">
        <f>IF(COUNTIFS('Matrice de traçabilité'!$C$3:$C$61,A8,'Matrice de traçabilité'!$M$3:$M$61,"&lt;&gt;")=0,"",INDEX('Matrice de traçabilité'!$M$3:$M$61,MATCH(1,INDEX(('Matrice de traçabilité'!$C$3:$C$61=A8)*('Matrice de traçabilité'!$M$3:$M$61&lt;&gt;""),0),0)))</f>
        <v/>
      </c>
      <c r="K8" s="29" t="s">
        <v>418</v>
      </c>
      <c r="L8" s="31">
        <f>SUMPRODUCT(('Matrice de traçabilité'!$M$3:$M$61&lt;&gt;"")/COUNTIF('Matrice de traçabilité'!$M$3:$M$61,'Matrice de traçabilité'!$M$3:$M$61&amp;""))</f>
        <v>2</v>
      </c>
    </row>
    <row r="9" spans="1:12" ht="28.35" customHeight="1" x14ac:dyDescent="0.3">
      <c r="A9" s="28" t="s">
        <v>128</v>
      </c>
      <c r="B9" s="29" t="s">
        <v>129</v>
      </c>
      <c r="C9" s="28" t="s">
        <v>36</v>
      </c>
      <c r="D9" s="29" t="s">
        <v>33</v>
      </c>
      <c r="E9" s="28" t="s">
        <v>134</v>
      </c>
      <c r="F9" s="28">
        <f>COUNTIF('Matrice de traçabilité'!$C$3:$C$61,A9)</f>
        <v>2</v>
      </c>
      <c r="G9" s="28" t="str">
        <f>IF(COUNTIFS('Matrice de traçabilité'!$C$3:$C$61,A9,'Matrice de traçabilité'!$K$3:$K$61,"KO")&gt;0,"KO",IF(COUNTIFS('Matrice de traçabilité'!$C$3:$C$61,A9,'Matrice de traçabilité'!$K$3:$K$61,"BLOCKED")&gt;0,"BLOCKED",IF(COUNTIFS('Matrice de traçabilité'!$C$3:$C$61,A9,'Matrice de traçabilité'!$K$3:$K$61,"NOT RUN")&gt;0,"NOT RUN","OK")))</f>
        <v>OK</v>
      </c>
      <c r="H9" s="28" t="str">
        <f>IF(COUNTIFS('Matrice de traçabilité'!$C$3:$C$61,A9,'Matrice de traçabilité'!$M$3:$M$61,"&lt;&gt;")=0,"",INDEX('Matrice de traçabilité'!$M$3:$M$61,MATCH(1,INDEX(('Matrice de traçabilité'!$C$3:$C$61=A9)*('Matrice de traçabilité'!$M$3:$M$61&lt;&gt;""),0),0)))</f>
        <v/>
      </c>
      <c r="K9" s="29" t="s">
        <v>419</v>
      </c>
      <c r="L9" s="32">
        <f>IF(L3=0,"N/A – aucun test exécuté",L4/L3)</f>
        <v>0.92307692307692313</v>
      </c>
    </row>
    <row r="10" spans="1:12" ht="15" customHeight="1" x14ac:dyDescent="0.3">
      <c r="A10" s="28" t="s">
        <v>141</v>
      </c>
      <c r="B10" s="29" t="s">
        <v>142</v>
      </c>
      <c r="C10" s="28" t="s">
        <v>36</v>
      </c>
      <c r="D10" s="29" t="s">
        <v>140</v>
      </c>
      <c r="E10" s="28" t="s">
        <v>147</v>
      </c>
      <c r="F10" s="28">
        <f>COUNTIF('Matrice de traçabilité'!$C$3:$C$61,A10)</f>
        <v>2</v>
      </c>
      <c r="G10" s="28" t="str">
        <f>IF(COUNTIFS('Matrice de traçabilité'!$C$3:$C$61,A10,'Matrice de traçabilité'!$K$3:$K$61,"KO")&gt;0,"KO",IF(COUNTIFS('Matrice de traçabilité'!$C$3:$C$61,A10,'Matrice de traçabilité'!$K$3:$K$61,"BLOCKED")&gt;0,"BLOCKED",IF(COUNTIFS('Matrice de traçabilité'!$C$3:$C$61,A10,'Matrice de traçabilité'!$K$3:$K$61,"NOT RUN")&gt;0,"NOT RUN","OK")))</f>
        <v>OK</v>
      </c>
      <c r="H10" s="28" t="str">
        <f>IF(COUNTIFS('Matrice de traçabilité'!$C$3:$C$61,A10,'Matrice de traçabilité'!$M$3:$M$61,"&lt;&gt;")=0,"",INDEX('Matrice de traçabilité'!$M$3:$M$61,MATCH(1,INDEX(('Matrice de traçabilité'!$C$3:$C$61=A10)*('Matrice de traçabilité'!$M$3:$M$61&lt;&gt;""),0),0)))</f>
        <v/>
      </c>
      <c r="K10" s="29" t="s">
        <v>420</v>
      </c>
      <c r="L10" s="33" t="str">
        <f>COUNTIF('Exigences (REQ → TC)'!F2:F13,"&gt;0")&amp;" / "&amp;COUNTA('Exigences (REQ → TC)'!A2:A13)</f>
        <v>12 / 12</v>
      </c>
    </row>
    <row r="11" spans="1:12" ht="15" customHeight="1" x14ac:dyDescent="0.3">
      <c r="A11" s="28" t="s">
        <v>153</v>
      </c>
      <c r="B11" s="29" t="s">
        <v>154</v>
      </c>
      <c r="C11" s="28" t="s">
        <v>36</v>
      </c>
      <c r="D11" s="29" t="s">
        <v>140</v>
      </c>
      <c r="E11" s="28" t="s">
        <v>147</v>
      </c>
      <c r="F11" s="28">
        <f>COUNTIF('Matrice de traçabilité'!$C$3:$C$61,A11)</f>
        <v>3</v>
      </c>
      <c r="G11" s="28" t="str">
        <f>IF(COUNTIFS('Matrice de traçabilité'!$C$3:$C$61,A11,'Matrice de traçabilité'!$K$3:$K$61,"KO")&gt;0,"KO",IF(COUNTIFS('Matrice de traçabilité'!$C$3:$C$61,A11,'Matrice de traçabilité'!$K$3:$K$61,"BLOCKED")&gt;0,"BLOCKED",IF(COUNTIFS('Matrice de traçabilité'!$C$3:$C$61,A11,'Matrice de traçabilité'!$K$3:$K$61,"NOT RUN")&gt;0,"NOT RUN","OK")))</f>
        <v>OK</v>
      </c>
      <c r="H11" s="28" t="str">
        <f>IF(COUNTIFS('Matrice de traçabilité'!$C$3:$C$61,A11,'Matrice de traçabilité'!$M$3:$M$61,"&lt;&gt;")=0,"",INDEX('Matrice de traçabilité'!$M$3:$M$61,MATCH(1,INDEX(('Matrice de traçabilité'!$C$3:$C$61=A11)*('Matrice de traçabilité'!$M$3:$M$61&lt;&gt;""),0),0)))</f>
        <v/>
      </c>
    </row>
    <row r="12" spans="1:12" ht="15" customHeight="1" x14ac:dyDescent="0.3">
      <c r="A12" s="28" t="s">
        <v>167</v>
      </c>
      <c r="B12" s="29" t="s">
        <v>168</v>
      </c>
      <c r="C12" s="28" t="s">
        <v>36</v>
      </c>
      <c r="D12" s="29" t="s">
        <v>140</v>
      </c>
      <c r="E12" s="28" t="s">
        <v>173</v>
      </c>
      <c r="F12" s="28">
        <f>COUNTIF('Matrice de traçabilité'!$C$3:$C$61,A12)</f>
        <v>3</v>
      </c>
      <c r="G12" s="28" t="str">
        <f>IF(COUNTIFS('Matrice de traçabilité'!$C$3:$C$61,A12,'Matrice de traçabilité'!$K$3:$K$61,"KO")&gt;0,"KO",IF(COUNTIFS('Matrice de traçabilité'!$C$3:$C$61,A12,'Matrice de traçabilité'!$K$3:$K$61,"BLOCKED")&gt;0,"BLOCKED",IF(COUNTIFS('Matrice de traçabilité'!$C$3:$C$61,A12,'Matrice de traçabilité'!$K$3:$K$61,"NOT RUN")&gt;0,"NOT RUN","OK")))</f>
        <v>KO</v>
      </c>
      <c r="H12" s="28" t="str">
        <f>IF(COUNTIFS('Matrice de traçabilité'!$C$3:$C$61,A12,'Matrice de traçabilité'!$M$3:$M$61,"&lt;&gt;")=0,"",INDEX('Matrice de traçabilité'!$M$3:$M$61,MATCH(1,INDEX(('Matrice de traçabilité'!$C$3:$C$61=A12)*('Matrice de traçabilité'!$M$3:$M$61&lt;&gt;""),0),0)))</f>
        <v>BUG-001</v>
      </c>
      <c r="K12" s="30" t="s">
        <v>421</v>
      </c>
    </row>
    <row r="13" spans="1:12" ht="15" customHeight="1" x14ac:dyDescent="0.3">
      <c r="A13" s="28" t="s">
        <v>184</v>
      </c>
      <c r="B13" s="29" t="s">
        <v>185</v>
      </c>
      <c r="C13" s="28" t="s">
        <v>36</v>
      </c>
      <c r="D13" s="29" t="s">
        <v>140</v>
      </c>
      <c r="E13" s="28" t="s">
        <v>190</v>
      </c>
      <c r="F13" s="28">
        <f>COUNTIF('Matrice de traçabilité'!$C$3:$C$61,A13)</f>
        <v>2</v>
      </c>
      <c r="G13" s="28" t="str">
        <f>IF(COUNTIFS('Matrice de traçabilité'!$C$3:$C$61,A13,'Matrice de traçabilité'!$K$3:$K$61,"KO")&gt;0,"KO",IF(COUNTIFS('Matrice de traçabilité'!$C$3:$C$61,A13,'Matrice de traçabilité'!$K$3:$K$61,"BLOCKED")&gt;0,"BLOCKED",IF(COUNTIFS('Matrice de traçabilité'!$C$3:$C$61,A13,'Matrice de traçabilité'!$K$3:$K$61,"NOT RUN")&gt;0,"NOT RUN","OK")))</f>
        <v>OK</v>
      </c>
      <c r="H13" s="28" t="str">
        <f>IF(COUNTIFS('Matrice de traçabilité'!$C$3:$C$61,A13,'Matrice de traçabilité'!$M$3:$M$61,"&lt;&gt;")=0,"",INDEX('Matrice de traçabilité'!$M$3:$M$61,MATCH(1,INDEX(('Matrice de traçabilité'!$C$3:$C$61=A13)*('Matrice de traçabilité'!$M$3:$M$61&lt;&gt;""),0),0)))</f>
        <v/>
      </c>
    </row>
    <row r="14" spans="1:12" ht="15" customHeight="1" x14ac:dyDescent="0.3">
      <c r="A14" s="28" t="s">
        <v>196</v>
      </c>
      <c r="B14" s="29" t="s">
        <v>197</v>
      </c>
      <c r="C14" s="28" t="s">
        <v>36</v>
      </c>
      <c r="D14" s="29" t="s">
        <v>140</v>
      </c>
      <c r="E14" s="28" t="s">
        <v>190</v>
      </c>
      <c r="F14" s="28">
        <f>COUNTIF('Matrice de traçabilité'!$C$3:$C$61,A14)</f>
        <v>2</v>
      </c>
      <c r="G14" s="28" t="str">
        <f>IF(COUNTIFS('Matrice de traçabilité'!$C$3:$C$61,A14,'Matrice de traçabilité'!$K$3:$K$61,"KO")&gt;0,"KO",IF(COUNTIFS('Matrice de traçabilité'!$C$3:$C$61,A14,'Matrice de traçabilité'!$K$3:$K$61,"BLOCKED")&gt;0,"BLOCKED",IF(COUNTIFS('Matrice de traçabilité'!$C$3:$C$61,A14,'Matrice de traçabilité'!$K$3:$K$61,"NOT RUN")&gt;0,"NOT RUN","OK")))</f>
        <v>OK</v>
      </c>
      <c r="H14" s="28" t="str">
        <f>IF(COUNTIFS('Matrice de traçabilité'!$C$3:$C$61,A14,'Matrice de traçabilité'!$M$3:$M$61,"&lt;&gt;")=0,"",INDEX('Matrice de traçabilité'!$M$3:$M$61,MATCH(1,INDEX(('Matrice de traçabilité'!$C$3:$C$61=A14)*('Matrice de traçabilité'!$M$3:$M$61&lt;&gt;""),0),0)))</f>
        <v/>
      </c>
    </row>
    <row r="15" spans="1:12" ht="15" customHeight="1" x14ac:dyDescent="0.3">
      <c r="A15" s="28" t="s">
        <v>207</v>
      </c>
      <c r="B15" s="29" t="s">
        <v>208</v>
      </c>
      <c r="C15" s="28" t="s">
        <v>36</v>
      </c>
      <c r="D15" s="29" t="s">
        <v>140</v>
      </c>
      <c r="E15" s="28" t="s">
        <v>212</v>
      </c>
      <c r="F15" s="28">
        <f>COUNTIF('Matrice de traçabilité'!$C$3:$C$61,A15)</f>
        <v>2</v>
      </c>
      <c r="G15" s="28" t="str">
        <f>IF(COUNTIFS('Matrice de traçabilité'!$C$3:$C$61,A15,'Matrice de traçabilité'!$K$3:$K$61,"KO")&gt;0,"KO",IF(COUNTIFS('Matrice de traçabilité'!$C$3:$C$61,A15,'Matrice de traçabilité'!$K$3:$K$61,"BLOCKED")&gt;0,"BLOCKED",IF(COUNTIFS('Matrice de traçabilité'!$C$3:$C$61,A15,'Matrice de traçabilité'!$K$3:$K$61,"NOT RUN")&gt;0,"NOT RUN","OK")))</f>
        <v>BLOCKED</v>
      </c>
      <c r="H15" s="28" t="str">
        <f>IF(COUNTIFS('Matrice de traçabilité'!$C$3:$C$61,A15,'Matrice de traçabilité'!$M$3:$M$61,"&lt;&gt;")=0,"",INDEX('Matrice de traçabilité'!$M$3:$M$61,MATCH(1,INDEX(('Matrice de traçabilité'!$C$3:$C$61=A15)*('Matrice de traçabilité'!$M$3:$M$61&lt;&gt;""),0),0)))</f>
        <v/>
      </c>
    </row>
    <row r="16" spans="1:12" ht="15" customHeight="1" x14ac:dyDescent="0.3">
      <c r="A16" s="28" t="s">
        <v>218</v>
      </c>
      <c r="B16" s="29" t="s">
        <v>219</v>
      </c>
      <c r="C16" s="28" t="s">
        <v>36</v>
      </c>
      <c r="D16" s="29" t="s">
        <v>140</v>
      </c>
      <c r="E16" s="28" t="s">
        <v>212</v>
      </c>
      <c r="F16" s="28">
        <f>COUNTIF('Matrice de traçabilité'!$C$3:$C$61,A16)</f>
        <v>2</v>
      </c>
      <c r="G16" s="28" t="str">
        <f>IF(COUNTIFS('Matrice de traçabilité'!$C$3:$C$61,A16,'Matrice de traçabilité'!$K$3:$K$61,"KO")&gt;0,"KO",IF(COUNTIFS('Matrice de traçabilité'!$C$3:$C$61,A16,'Matrice de traçabilité'!$K$3:$K$61,"BLOCKED")&gt;0,"BLOCKED",IF(COUNTIFS('Matrice de traçabilité'!$C$3:$C$61,A16,'Matrice de traçabilité'!$K$3:$K$61,"NOT RUN")&gt;0,"NOT RUN","OK")))</f>
        <v>OK</v>
      </c>
      <c r="H16" s="28" t="str">
        <f>IF(COUNTIFS('Matrice de traçabilité'!$C$3:$C$61,A16,'Matrice de traçabilité'!$M$3:$M$61,"&lt;&gt;")=0,"",INDEX('Matrice de traçabilité'!$M$3:$M$61,MATCH(1,INDEX(('Matrice de traçabilité'!$C$3:$C$61=A16)*('Matrice de traçabilité'!$M$3:$M$61&lt;&gt;""),0),0)))</f>
        <v/>
      </c>
    </row>
    <row r="17" spans="1:8" ht="15" customHeight="1" x14ac:dyDescent="0.3">
      <c r="A17" s="28" t="s">
        <v>230</v>
      </c>
      <c r="B17" s="29" t="s">
        <v>231</v>
      </c>
      <c r="C17" s="28" t="s">
        <v>36</v>
      </c>
      <c r="D17" s="29" t="s">
        <v>229</v>
      </c>
      <c r="E17" s="28" t="s">
        <v>236</v>
      </c>
      <c r="F17" s="28">
        <f>COUNTIF('Matrice de traçabilité'!$C$3:$C$61,A17)</f>
        <v>2</v>
      </c>
      <c r="G17" s="28" t="str">
        <f>IF(COUNTIFS('Matrice de traçabilité'!$C$3:$C$61,A17,'Matrice de traçabilité'!$K$3:$K$61,"KO")&gt;0,"KO",IF(COUNTIFS('Matrice de traçabilité'!$C$3:$C$61,A17,'Matrice de traçabilité'!$K$3:$K$61,"BLOCKED")&gt;0,"BLOCKED",IF(COUNTIFS('Matrice de traçabilité'!$C$3:$C$61,A17,'Matrice de traçabilité'!$K$3:$K$61,"NOT RUN")&gt;0,"NOT RUN","OK")))</f>
        <v>OK</v>
      </c>
      <c r="H17" s="28" t="str">
        <f>IF(COUNTIFS('Matrice de traçabilité'!$C$3:$C$61,A17,'Matrice de traçabilité'!$M$3:$M$61,"&lt;&gt;")=0,"",INDEX('Matrice de traçabilité'!$M$3:$M$61,MATCH(1,INDEX(('Matrice de traçabilité'!$C$3:$C$61=A17)*('Matrice de traçabilité'!$M$3:$M$61&lt;&gt;""),0),0)))</f>
        <v/>
      </c>
    </row>
    <row r="18" spans="1:8" ht="15" customHeight="1" x14ac:dyDescent="0.3">
      <c r="A18" s="28" t="s">
        <v>242</v>
      </c>
      <c r="B18" s="29" t="s">
        <v>243</v>
      </c>
      <c r="C18" s="28" t="s">
        <v>36</v>
      </c>
      <c r="D18" s="29" t="s">
        <v>229</v>
      </c>
      <c r="E18" s="28" t="s">
        <v>248</v>
      </c>
      <c r="F18" s="28">
        <f>COUNTIF('Matrice de traçabilité'!$C$3:$C$61,A18)</f>
        <v>2</v>
      </c>
      <c r="G18" s="28" t="str">
        <f>IF(COUNTIFS('Matrice de traçabilité'!$C$3:$C$61,A18,'Matrice de traçabilité'!$K$3:$K$61,"KO")&gt;0,"KO",IF(COUNTIFS('Matrice de traçabilité'!$C$3:$C$61,A18,'Matrice de traçabilité'!$K$3:$K$61,"BLOCKED")&gt;0,"BLOCKED",IF(COUNTIFS('Matrice de traçabilité'!$C$3:$C$61,A18,'Matrice de traçabilité'!$K$3:$K$61,"NOT RUN")&gt;0,"NOT RUN","OK")))</f>
        <v>KO</v>
      </c>
      <c r="H18" s="28" t="str">
        <f>IF(COUNTIFS('Matrice de traçabilité'!$C$3:$C$61,A18,'Matrice de traçabilité'!$M$3:$M$61,"&lt;&gt;")=0,"",INDEX('Matrice de traçabilité'!$M$3:$M$61,MATCH(1,INDEX(('Matrice de traçabilité'!$C$3:$C$61=A18)*('Matrice de traçabilité'!$M$3:$M$61&lt;&gt;""),0),0)))</f>
        <v>BUG-002</v>
      </c>
    </row>
    <row r="19" spans="1:8" ht="15" customHeight="1" x14ac:dyDescent="0.3">
      <c r="A19" s="28" t="s">
        <v>255</v>
      </c>
      <c r="B19" s="29" t="s">
        <v>256</v>
      </c>
      <c r="C19" s="28" t="s">
        <v>36</v>
      </c>
      <c r="D19" s="29" t="s">
        <v>229</v>
      </c>
      <c r="E19" s="28" t="s">
        <v>248</v>
      </c>
      <c r="F19" s="28">
        <f>COUNTIF('Matrice de traçabilité'!$C$3:$C$61,A19)</f>
        <v>2</v>
      </c>
      <c r="G19" s="28" t="str">
        <f>IF(COUNTIFS('Matrice de traçabilité'!$C$3:$C$61,A19,'Matrice de traçabilité'!$K$3:$K$61,"KO")&gt;0,"KO",IF(COUNTIFS('Matrice de traçabilité'!$C$3:$C$61,A19,'Matrice de traçabilité'!$K$3:$K$61,"BLOCKED")&gt;0,"BLOCKED",IF(COUNTIFS('Matrice de traçabilité'!$C$3:$C$61,A19,'Matrice de traçabilité'!$K$3:$K$61,"NOT RUN")&gt;0,"NOT RUN","OK")))</f>
        <v>OK</v>
      </c>
      <c r="H19" s="28" t="str">
        <f>IF(COUNTIFS('Matrice de traçabilité'!$C$3:$C$61,A19,'Matrice de traçabilité'!$M$3:$M$61,"&lt;&gt;")=0,"",INDEX('Matrice de traçabilité'!$M$3:$M$61,MATCH(1,INDEX(('Matrice de traçabilité'!$C$3:$C$61=A19)*('Matrice de traçabilité'!$M$3:$M$61&lt;&gt;""),0),0)))</f>
        <v/>
      </c>
    </row>
    <row r="20" spans="1:8" ht="15" customHeight="1" x14ac:dyDescent="0.3">
      <c r="A20" s="28" t="s">
        <v>265</v>
      </c>
      <c r="B20" s="29" t="s">
        <v>266</v>
      </c>
      <c r="C20" s="28" t="s">
        <v>36</v>
      </c>
      <c r="D20" s="29" t="s">
        <v>229</v>
      </c>
      <c r="E20" s="28" t="s">
        <v>248</v>
      </c>
      <c r="F20" s="28">
        <f>COUNTIF('Matrice de traçabilité'!$C$3:$C$61,A20)</f>
        <v>2</v>
      </c>
      <c r="G20" s="28" t="str">
        <f>IF(COUNTIFS('Matrice de traçabilité'!$C$3:$C$61,A20,'Matrice de traçabilité'!$K$3:$K$61,"KO")&gt;0,"KO",IF(COUNTIFS('Matrice de traçabilité'!$C$3:$C$61,A20,'Matrice de traçabilité'!$K$3:$K$61,"BLOCKED")&gt;0,"BLOCKED",IF(COUNTIFS('Matrice de traçabilité'!$C$3:$C$61,A20,'Matrice de traçabilité'!$K$3:$K$61,"NOT RUN")&gt;0,"NOT RUN","OK")))</f>
        <v>OK</v>
      </c>
      <c r="H20" s="28" t="str">
        <f>IF(COUNTIFS('Matrice de traçabilité'!$C$3:$C$61,A20,'Matrice de traçabilité'!$M$3:$M$61,"&lt;&gt;")=0,"",INDEX('Matrice de traçabilité'!$M$3:$M$61,MATCH(1,INDEX(('Matrice de traçabilité'!$C$3:$C$61=A20)*('Matrice de traçabilité'!$M$3:$M$61&lt;&gt;""),0),0)))</f>
        <v/>
      </c>
    </row>
    <row r="21" spans="1:8" ht="28.35" customHeight="1" x14ac:dyDescent="0.3">
      <c r="A21" s="28" t="s">
        <v>276</v>
      </c>
      <c r="B21" s="29" t="s">
        <v>277</v>
      </c>
      <c r="C21" s="28" t="s">
        <v>36</v>
      </c>
      <c r="D21" s="29" t="s">
        <v>275</v>
      </c>
      <c r="E21" s="28" t="s">
        <v>282</v>
      </c>
      <c r="F21" s="28">
        <f>COUNTIF('Matrice de traçabilité'!$C$3:$C$61,A21)</f>
        <v>2</v>
      </c>
      <c r="G21" s="28" t="str">
        <f>IF(COUNTIFS('Matrice de traçabilité'!$C$3:$C$61,A21,'Matrice de traçabilité'!$K$3:$K$61,"KO")&gt;0,"KO",IF(COUNTIFS('Matrice de traçabilité'!$C$3:$C$61,A21,'Matrice de traçabilité'!$K$3:$K$61,"BLOCKED")&gt;0,"BLOCKED",IF(COUNTIFS('Matrice de traçabilité'!$C$3:$C$61,A21,'Matrice de traçabilité'!$K$3:$K$61,"NOT RUN")&gt;0,"NOT RUN","OK")))</f>
        <v>OK</v>
      </c>
      <c r="H21" s="28" t="str">
        <f>IF(COUNTIFS('Matrice de traçabilité'!$C$3:$C$61,A21,'Matrice de traçabilité'!$M$3:$M$61,"&lt;&gt;")=0,"",INDEX('Matrice de traçabilité'!$M$3:$M$61,MATCH(1,INDEX(('Matrice de traçabilité'!$C$3:$C$61=A21)*('Matrice de traçabilité'!$M$3:$M$61&lt;&gt;""),0),0)))</f>
        <v/>
      </c>
    </row>
    <row r="22" spans="1:8" ht="28.35" customHeight="1" x14ac:dyDescent="0.3">
      <c r="A22" s="28" t="s">
        <v>288</v>
      </c>
      <c r="B22" s="29" t="s">
        <v>289</v>
      </c>
      <c r="C22" s="28" t="s">
        <v>69</v>
      </c>
      <c r="D22" s="29" t="s">
        <v>275</v>
      </c>
      <c r="E22" s="28" t="s">
        <v>282</v>
      </c>
      <c r="F22" s="28">
        <f>COUNTIF('Matrice de traçabilité'!$C$3:$C$61,A22)</f>
        <v>2</v>
      </c>
      <c r="G22" s="28" t="str">
        <f>IF(COUNTIFS('Matrice de traçabilité'!$C$3:$C$61,A22,'Matrice de traçabilité'!$K$3:$K$61,"KO")&gt;0,"KO",IF(COUNTIFS('Matrice de traçabilité'!$C$3:$C$61,A22,'Matrice de traçabilité'!$K$3:$K$61,"BLOCKED")&gt;0,"BLOCKED",IF(COUNTIFS('Matrice de traçabilité'!$C$3:$C$61,A22,'Matrice de traçabilité'!$K$3:$K$61,"NOT RUN")&gt;0,"NOT RUN","OK")))</f>
        <v>OK</v>
      </c>
      <c r="H22" s="28" t="str">
        <f>IF(COUNTIFS('Matrice de traçabilité'!$C$3:$C$61,A22,'Matrice de traçabilité'!$M$3:$M$61,"&lt;&gt;")=0,"",INDEX('Matrice de traçabilité'!$M$3:$M$61,MATCH(1,INDEX(('Matrice de traçabilité'!$C$3:$C$61=A22)*('Matrice de traçabilité'!$M$3:$M$61&lt;&gt;""),0),0)))</f>
        <v/>
      </c>
    </row>
    <row r="23" spans="1:8" ht="28.35" customHeight="1" x14ac:dyDescent="0.3">
      <c r="A23" s="28" t="s">
        <v>299</v>
      </c>
      <c r="B23" s="29" t="s">
        <v>300</v>
      </c>
      <c r="C23" s="28" t="s">
        <v>36</v>
      </c>
      <c r="D23" s="29" t="s">
        <v>275</v>
      </c>
      <c r="E23" s="28" t="s">
        <v>282</v>
      </c>
      <c r="F23" s="28">
        <f>COUNTIF('Matrice de traçabilité'!$C$3:$C$61,A23)</f>
        <v>3</v>
      </c>
      <c r="G23" s="28" t="str">
        <f>IF(COUNTIFS('Matrice de traçabilité'!$C$3:$C$61,A23,'Matrice de traçabilité'!$K$3:$K$61,"KO")&gt;0,"KO",IF(COUNTIFS('Matrice de traçabilité'!$C$3:$C$61,A23,'Matrice de traçabilité'!$K$3:$K$61,"BLOCKED")&gt;0,"BLOCKED",IF(COUNTIFS('Matrice de traçabilité'!$C$3:$C$61,A23,'Matrice de traçabilité'!$K$3:$K$61,"NOT RUN")&gt;0,"NOT RUN","OK")))</f>
        <v>OK</v>
      </c>
      <c r="H23" s="28" t="str">
        <f>IF(COUNTIFS('Matrice de traçabilité'!$C$3:$C$61,A23,'Matrice de traçabilité'!$M$3:$M$61,"&lt;&gt;")=0,"",INDEX('Matrice de traçabilité'!$M$3:$M$61,MATCH(1,INDEX(('Matrice de traçabilité'!$C$3:$C$61=A23)*('Matrice de traçabilité'!$M$3:$M$61&lt;&gt;""),0),0)))</f>
        <v/>
      </c>
    </row>
    <row r="24" spans="1:8" ht="28.35" customHeight="1" x14ac:dyDescent="0.3">
      <c r="A24" s="28" t="s">
        <v>313</v>
      </c>
      <c r="B24" s="29" t="s">
        <v>314</v>
      </c>
      <c r="C24" s="28" t="s">
        <v>36</v>
      </c>
      <c r="D24" s="29" t="s">
        <v>275</v>
      </c>
      <c r="E24" s="28" t="s">
        <v>282</v>
      </c>
      <c r="F24" s="28">
        <f>COUNTIF('Matrice de traçabilité'!$C$3:$C$61,A24)</f>
        <v>2</v>
      </c>
      <c r="G24" s="28" t="str">
        <f>IF(COUNTIFS('Matrice de traçabilité'!$C$3:$C$61,A24,'Matrice de traçabilité'!$K$3:$K$61,"KO")&gt;0,"KO",IF(COUNTIFS('Matrice de traçabilité'!$C$3:$C$61,A24,'Matrice de traçabilité'!$K$3:$K$61,"BLOCKED")&gt;0,"BLOCKED",IF(COUNTIFS('Matrice de traçabilité'!$C$3:$C$61,A24,'Matrice de traçabilité'!$K$3:$K$61,"NOT RUN")&gt;0,"NOT RUN","OK")))</f>
        <v>OK</v>
      </c>
      <c r="H24" s="28" t="str">
        <f>IF(COUNTIFS('Matrice de traçabilité'!$C$3:$C$61,A24,'Matrice de traçabilité'!$M$3:$M$61,"&lt;&gt;")=0,"",INDEX('Matrice de traçabilité'!$M$3:$M$61,MATCH(1,INDEX(('Matrice de traçabilité'!$C$3:$C$61=A24)*('Matrice de traçabilité'!$M$3:$M$61&lt;&gt;""),0),0)))</f>
        <v/>
      </c>
    </row>
    <row r="25" spans="1:8" ht="15" customHeight="1" x14ac:dyDescent="0.3">
      <c r="A25" s="28" t="s">
        <v>324</v>
      </c>
      <c r="B25" s="29" t="s">
        <v>325</v>
      </c>
      <c r="C25" s="28" t="s">
        <v>36</v>
      </c>
      <c r="D25" s="29" t="s">
        <v>323</v>
      </c>
      <c r="E25" s="28" t="s">
        <v>330</v>
      </c>
      <c r="F25" s="28">
        <f>COUNTIF('Matrice de traçabilité'!$C$3:$C$61,A25)</f>
        <v>2</v>
      </c>
      <c r="G25" s="28" t="str">
        <f>IF(COUNTIFS('Matrice de traçabilité'!$C$3:$C$61,A25,'Matrice de traçabilité'!$K$3:$K$61,"KO")&gt;0,"KO",IF(COUNTIFS('Matrice de traçabilité'!$C$3:$C$61,A25,'Matrice de traçabilité'!$K$3:$K$61,"BLOCKED")&gt;0,"BLOCKED",IF(COUNTIFS('Matrice de traçabilité'!$C$3:$C$61,A25,'Matrice de traçabilité'!$K$3:$K$61,"NOT RUN")&gt;0,"NOT RUN","OK")))</f>
        <v>OK</v>
      </c>
      <c r="H25" s="28" t="str">
        <f>IF(COUNTIFS('Matrice de traçabilité'!$C$3:$C$61,A25,'Matrice de traçabilité'!$M$3:$M$61,"&lt;&gt;")=0,"",INDEX('Matrice de traçabilité'!$M$3:$M$61,MATCH(1,INDEX(('Matrice de traçabilité'!$C$3:$C$61=A25)*('Matrice de traçabilité'!$M$3:$M$61&lt;&gt;""),0),0)))</f>
        <v/>
      </c>
    </row>
    <row r="26" spans="1:8" ht="15" customHeight="1" x14ac:dyDescent="0.3">
      <c r="A26" s="28" t="s">
        <v>336</v>
      </c>
      <c r="B26" s="29" t="s">
        <v>337</v>
      </c>
      <c r="C26" s="28" t="s">
        <v>36</v>
      </c>
      <c r="D26" s="29" t="s">
        <v>323</v>
      </c>
      <c r="E26" s="28" t="s">
        <v>330</v>
      </c>
      <c r="F26" s="28">
        <f>COUNTIF('Matrice de traçabilité'!$C$3:$C$61,A26)</f>
        <v>2</v>
      </c>
      <c r="G26" s="28" t="str">
        <f>IF(COUNTIFS('Matrice de traçabilité'!$C$3:$C$61,A26,'Matrice de traçabilité'!$K$3:$K$61,"KO")&gt;0,"KO",IF(COUNTIFS('Matrice de traçabilité'!$C$3:$C$61,A26,'Matrice de traçabilité'!$K$3:$K$61,"BLOCKED")&gt;0,"BLOCKED",IF(COUNTIFS('Matrice de traçabilité'!$C$3:$C$61,A26,'Matrice de traçabilité'!$K$3:$K$61,"NOT RUN")&gt;0,"NOT RUN","OK")))</f>
        <v>OK</v>
      </c>
      <c r="H26" s="28" t="str">
        <f>IF(COUNTIFS('Matrice de traçabilité'!$C$3:$C$61,A26,'Matrice de traçabilité'!$M$3:$M$61,"&lt;&gt;")=0,"",INDEX('Matrice de traçabilité'!$M$3:$M$61,MATCH(1,INDEX(('Matrice de traçabilité'!$C$3:$C$61=A26)*('Matrice de traçabilité'!$M$3:$M$61&lt;&gt;""),0),0)))</f>
        <v/>
      </c>
    </row>
    <row r="27" spans="1:8" ht="15" customHeight="1" x14ac:dyDescent="0.3">
      <c r="A27" s="28" t="s">
        <v>347</v>
      </c>
      <c r="B27" s="29" t="s">
        <v>348</v>
      </c>
      <c r="C27" s="28" t="s">
        <v>36</v>
      </c>
      <c r="D27" s="29" t="s">
        <v>323</v>
      </c>
      <c r="E27" s="28" t="s">
        <v>330</v>
      </c>
      <c r="F27" s="28">
        <f>COUNTIF('Matrice de traçabilité'!$C$3:$C$61,A27)</f>
        <v>4</v>
      </c>
      <c r="G27" s="28" t="str">
        <f>IF(COUNTIFS('Matrice de traçabilité'!$C$3:$C$61,A27,'Matrice de traçabilité'!$K$3:$K$61,"KO")&gt;0,"KO",IF(COUNTIFS('Matrice de traçabilité'!$C$3:$C$61,A27,'Matrice de traçabilité'!$K$3:$K$61,"BLOCKED")&gt;0,"BLOCKED",IF(COUNTIFS('Matrice de traçabilité'!$C$3:$C$61,A27,'Matrice de traçabilité'!$K$3:$K$61,"NOT RUN")&gt;0,"NOT RUN","OK")))</f>
        <v>OK</v>
      </c>
      <c r="H27" s="28" t="str">
        <f>IF(COUNTIFS('Matrice de traçabilité'!$C$3:$C$61,A27,'Matrice de traçabilité'!$M$3:$M$61,"&lt;&gt;")=0,"",INDEX('Matrice de traçabilité'!$M$3:$M$61,MATCH(1,INDEX(('Matrice de traçabilité'!$C$3:$C$61=A27)*('Matrice de traçabilité'!$M$3:$M$61&lt;&gt;""),0),0)))</f>
        <v/>
      </c>
    </row>
    <row r="28" spans="1:8" ht="15" customHeight="1" x14ac:dyDescent="0.3">
      <c r="A28" s="28" t="s">
        <v>365</v>
      </c>
      <c r="B28" s="29" t="s">
        <v>366</v>
      </c>
      <c r="C28" s="28" t="s">
        <v>36</v>
      </c>
      <c r="D28" s="29" t="s">
        <v>323</v>
      </c>
      <c r="E28" s="28" t="s">
        <v>330</v>
      </c>
      <c r="F28" s="28">
        <f>COUNTIF('Matrice de traçabilité'!$C$3:$C$61,A28)</f>
        <v>1</v>
      </c>
      <c r="G28" s="28" t="str">
        <f>IF(COUNTIFS('Matrice de traçabilité'!$C$3:$C$61,A28,'Matrice de traçabilité'!$K$3:$K$61,"KO")&gt;0,"KO",IF(COUNTIFS('Matrice de traçabilité'!$C$3:$C$61,A28,'Matrice de traçabilité'!$K$3:$K$61,"BLOCKED")&gt;0,"BLOCKED",IF(COUNTIFS('Matrice de traçabilité'!$C$3:$C$61,A28,'Matrice de traçabilité'!$K$3:$K$61,"NOT RUN")&gt;0,"NOT RUN","OK")))</f>
        <v>OK</v>
      </c>
      <c r="H28" s="28" t="str">
        <f>IF(COUNTIFS('Matrice de traçabilité'!$C$3:$C$61,A28,'Matrice de traçabilité'!$M$3:$M$61,"&lt;&gt;")=0,"",INDEX('Matrice de traçabilité'!$M$3:$M$61,MATCH(1,INDEX(('Matrice de traçabilité'!$C$3:$C$61=A28)*('Matrice de traçabilité'!$M$3:$M$61&lt;&gt;""),0),0)))</f>
        <v/>
      </c>
    </row>
  </sheetData>
  <conditionalFormatting sqref="G2:G28">
    <cfRule type="cellIs" dxfId="3" priority="2" operator="equal">
      <formula>"OK"</formula>
    </cfRule>
    <cfRule type="cellIs" dxfId="2" priority="3" operator="equal">
      <formula>"KO"</formula>
    </cfRule>
    <cfRule type="cellIs" dxfId="1" priority="4" operator="equal">
      <formula>"BLOCKED"</formula>
    </cfRule>
    <cfRule type="cellIs" dxfId="0" priority="5" operator="equal">
      <formula>"NOT RUN"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project information</vt:lpstr>
      <vt:lpstr>Matrice de traçabilité</vt:lpstr>
      <vt:lpstr>Exigences (REQ → TC)</vt:lpstr>
      <vt:lpstr>Synthèse</vt:lpstr>
      <vt:lpstr>'Matrice de traçabilité'!Impression_des_titres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Jaber</cp:lastModifiedBy>
  <cp:revision>0</cp:revision>
  <dcterms:created xsi:type="dcterms:W3CDTF">2023-05-06T11:23:51Z</dcterms:created>
  <dcterms:modified xsi:type="dcterms:W3CDTF">2026-10-24T17:57:03Z</dcterms:modified>
  <dc:language>en-US</dc:language>
</cp:coreProperties>
</file>